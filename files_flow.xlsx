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rman\Dropbox\Armando Cuaxospa ESEOTRES RESPALDO\Propuestas\2026\IM 2027-2028 Eseotres - Birmex\"/>
    </mc:Choice>
  </mc:AlternateContent>
  <xr:revisionPtr revIDLastSave="0" documentId="13_ncr:1_{675131F2-C894-4408-ABB9-3E1AFB69E92A}" xr6:coauthVersionLast="47" xr6:coauthVersionMax="47" xr10:uidLastSave="{00000000-0000-0000-0000-000000000000}"/>
  <bookViews>
    <workbookView xWindow="-110" yWindow="-110" windowWidth="38620" windowHeight="25100" activeTab="1" xr2:uid="{00000000-000D-0000-FFFF-FFFF00000000}"/>
  </bookViews>
  <sheets>
    <sheet name="Parametrización" sheetId="1" r:id="rId1"/>
    <sheet name="headers_names" sheetId="5" r:id="rId2"/>
    <sheet name="PDF_PDF" sheetId="4" r:id="rId3"/>
    <sheet name="Tecnica_economica" sheetId="3" r:id="rId4"/>
    <sheet name="Campos_adm" sheetId="2" r:id="rId5"/>
  </sheets>
  <externalReferences>
    <externalReference r:id="rId6"/>
  </externalReferences>
  <definedNames>
    <definedName name="_xlnm._FilterDatabase" localSheetId="0" hidden="1">Parametrización!$A$1:$P$54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3" l="1"/>
  <c r="S2" i="3"/>
  <c r="N2" i="3"/>
  <c r="V2" i="3" s="1"/>
  <c r="M2" i="3"/>
  <c r="U2" i="3" s="1"/>
  <c r="H2" i="3"/>
  <c r="F2" i="3"/>
  <c r="E2" i="3"/>
  <c r="D2" i="3"/>
  <c r="C2" i="3"/>
  <c r="A2" i="3"/>
  <c r="AB2" i="2" l="1"/>
  <c r="AA2" i="2"/>
  <c r="Q2" i="2"/>
  <c r="P2" i="2"/>
  <c r="O2" i="2"/>
</calcChain>
</file>

<file path=xl/sharedStrings.xml><?xml version="1.0" encoding="utf-8"?>
<sst xmlns="http://schemas.openxmlformats.org/spreadsheetml/2006/main" count="701" uniqueCount="455">
  <si>
    <t>Fecha</t>
  </si>
  <si>
    <t>Nombre Licitante</t>
  </si>
  <si>
    <t>Nombre Apoderado</t>
  </si>
  <si>
    <t>Cargo Apoderado</t>
  </si>
  <si>
    <t>#Licitación</t>
  </si>
  <si>
    <t>Nombre Licitación</t>
  </si>
  <si>
    <t>RFC Licitante</t>
  </si>
  <si>
    <t>Teléfono</t>
  </si>
  <si>
    <t>Mail apoderado</t>
  </si>
  <si>
    <t>Domicilio Licitante</t>
  </si>
  <si>
    <t>Calle y número</t>
  </si>
  <si>
    <t>Colonia</t>
  </si>
  <si>
    <t>Demarcación territorial</t>
  </si>
  <si>
    <t>Entidad federativa</t>
  </si>
  <si>
    <t>CP</t>
  </si>
  <si>
    <t>Acta Licitante</t>
  </si>
  <si>
    <t>Fecha Acta Licitante</t>
  </si>
  <si>
    <t>Notario Acta</t>
  </si>
  <si>
    <t>Socios Licitante</t>
  </si>
  <si>
    <t>Objeto Social</t>
  </si>
  <si>
    <t>Reformas al Acta</t>
  </si>
  <si>
    <t>Registro Público Comercio</t>
  </si>
  <si>
    <t>Folio registro Público Comercio</t>
  </si>
  <si>
    <t>Fecha  Registro Público Comercio</t>
  </si>
  <si>
    <t>RFC Apoderado</t>
  </si>
  <si>
    <t>Domicilio Apoderado</t>
  </si>
  <si>
    <t>#Escritura Apoderado</t>
  </si>
  <si>
    <t>Fecha Escritura Apoderado</t>
  </si>
  <si>
    <t>Notario poder apoderado</t>
  </si>
  <si>
    <t>Ciudad de México a 26 de Diciembre de 2024</t>
  </si>
  <si>
    <t>Eseotres Pharma, S.A.P.I. de C.V.</t>
  </si>
  <si>
    <t>Jorge Armando Cuaxospa Jiménez</t>
  </si>
  <si>
    <t>Apoderado Legal</t>
  </si>
  <si>
    <t>Licitación Pública Electrónica Internacional Abierta No. LA-12-NEF-012NEF001-I-1-2025</t>
  </si>
  <si>
    <t>Compra Consolidada de Medicamentos, Bienes Terapéuticos, Material de Curación y Auxiliares de Diagnóstico para los ejercicios fiscales 2025-2026</t>
  </si>
  <si>
    <t>EPH161215NS9</t>
  </si>
  <si>
    <t>Cel: 55 6913 6323 Fijo: 735 688 2634</t>
  </si>
  <si>
    <t>armando.cuaxospa@eseotrespharma.com y diegoalbertoruizosuna1984@gmail.com</t>
  </si>
  <si>
    <t>Paseo De Las Palmas, Número Exterior 1, Interior Bodega 2-B2, Colonia Lomas De Cocoyoc, Atlatlahucan, Morelos, CP62840.</t>
  </si>
  <si>
    <t>Paseo De Las Palmas, Número Exterior 1, Interior Bodega 2-B2</t>
  </si>
  <si>
    <t>Lomas de Cocoyoc</t>
  </si>
  <si>
    <t>Atlatlahucan</t>
  </si>
  <si>
    <t>Morelos</t>
  </si>
  <si>
    <t>Lic. José Eugenio Castañeda Escobedo, Notario Público No.211 de la Ciudad de México.</t>
  </si>
  <si>
    <t>Argüelles Díaz-González Antonio
Argüelles Díaz-González Diego</t>
  </si>
  <si>
    <t>Fabricación, producción, compra, venta, distribución, importación, exportación, comisión, consignación, arrendamiento, sub-arrendamiento y el comercio en general con toda clase de productos farmacéuticos, medicamentos, artículos, equipos e instrumental médico.</t>
  </si>
  <si>
    <t>Ninguna</t>
  </si>
  <si>
    <t>N°18032</t>
  </si>
  <si>
    <t>FME N-2017043459</t>
  </si>
  <si>
    <t>01/junio/2017</t>
  </si>
  <si>
    <t>CUJJ9002221Y0</t>
  </si>
  <si>
    <t>Paseo de las Palmas No. 1 Fraccionamiento Lomas de Cocoyoc, Atlatlahucan, Morelos, México CP 62847</t>
  </si>
  <si>
    <t>Lic. Ariel Ortiz Macías, Notario Público 103 de la Ciudad de México</t>
  </si>
  <si>
    <t>Tipo</t>
  </si>
  <si>
    <t>Sección</t>
  </si>
  <si>
    <r>
      <t xml:space="preserve">Obligatorio - </t>
    </r>
    <r>
      <rPr>
        <b/>
        <sz val="11"/>
        <color rgb="FFFF0000"/>
        <rFont val="Calibri"/>
        <family val="2"/>
        <scheme val="minor"/>
      </rPr>
      <t>Compranet</t>
    </r>
  </si>
  <si>
    <r>
      <t xml:space="preserve">Requerimiento - </t>
    </r>
    <r>
      <rPr>
        <b/>
        <sz val="10"/>
        <color rgb="FFFF0000"/>
        <rFont val="Arial"/>
        <family val="2"/>
      </rPr>
      <t>Compranet</t>
    </r>
  </si>
  <si>
    <r>
      <t xml:space="preserve">Descripción- </t>
    </r>
    <r>
      <rPr>
        <b/>
        <sz val="10"/>
        <color rgb="FFFF0000"/>
        <rFont val="Arial"/>
        <family val="2"/>
      </rPr>
      <t>Compranet</t>
    </r>
  </si>
  <si>
    <r>
      <t xml:space="preserve">Inciso - </t>
    </r>
    <r>
      <rPr>
        <b/>
        <sz val="10"/>
        <color rgb="FFFF0000"/>
        <rFont val="Arial"/>
        <family val="2"/>
      </rPr>
      <t>Anexo 16</t>
    </r>
  </si>
  <si>
    <t>L01</t>
  </si>
  <si>
    <t>Word</t>
  </si>
  <si>
    <t>Legal</t>
  </si>
  <si>
    <t>Sí</t>
  </si>
  <si>
    <t>ACREDITAMIENTO DE LA PERSONALIDAD JURÍDICA</t>
  </si>
  <si>
    <t>a) Formato G. Acreditación de Personalidad Jurídica</t>
  </si>
  <si>
    <t>L09</t>
  </si>
  <si>
    <t>PDF</t>
  </si>
  <si>
    <t>ACREDITACIÓN DE PERSONALIDAD JURÍDICA</t>
  </si>
  <si>
    <t>PERSONAS MORALES: ACTA CONSTITUTIVA DE LA EMPRESA Y SUS ÚLTIMAS DOS MODIFICACIONES, DEBIDAMENTE PROTOCOLIZADAS E INSCRITAS EN EL REGISTRO PÚBLICO DE LA PROPIEDAD Y DE COMERCIO, ESTAS DEBERÁN DE ESTAR COMPLETAS Y LEGIBLES. PERSONAS FÍSICAS: ACTA DE NACIMIENTO Y ALTA ANTE LA SECRETARÍA DE HACIENDA Y CRÉDITO PÚBLICO.</t>
  </si>
  <si>
    <t>b) Acta Constitutiva</t>
  </si>
  <si>
    <t>L10</t>
  </si>
  <si>
    <t>ACREDITACIÓN DE CONTAR CON FACULTADES DE REPRESENTACIÓN</t>
  </si>
  <si>
    <t>PODER NOTARIAL CON FACULTADES SUFICIENTES, DEL REPRESENTANTE O APODERADO LEGAL DE LA EMPRESA O, EN SU CASO, DE LA PERSONA FÍSICA QUE PARTICIPE.</t>
  </si>
  <si>
    <t>c) Poder Notarial</t>
  </si>
  <si>
    <t>L11</t>
  </si>
  <si>
    <t>IDENTIFICACIÓN VIGENTE</t>
  </si>
  <si>
    <t>IDENTIFICACIÓN OFICIAL VIGENTE CON FOTOGRAFÍA POR AMBOS LADOS (CREDENCIAL PARA VOTAR EMITIDA POR EL INSTITUTO NACIONAL ELECTORAL, PASAPORTE O CÉDULA PROFESIONAL), TRATÁNDOSE DE PERSONAS FÍSICAS Y, EN EL CASO DE PERSONAS MORALES, DE LA PERSONA QUE FIRMA LA PROPOSICIÓN.</t>
  </si>
  <si>
    <t>d) Copia simple (legible) por ambos lados de la identificación oficial vigente con fotografía.</t>
  </si>
  <si>
    <t>GPO</t>
  </si>
  <si>
    <t>ESP</t>
  </si>
  <si>
    <t>NOMBRE GENÉRICO</t>
  </si>
  <si>
    <t>UNI</t>
  </si>
  <si>
    <t>CANT</t>
  </si>
  <si>
    <t>TIPO</t>
  </si>
  <si>
    <t>MARCA O DENOMINACIÓN DISTINTIVA</t>
  </si>
  <si>
    <t>FABRICANTE</t>
  </si>
  <si>
    <t>PAÍS DE ORIGEN</t>
  </si>
  <si>
    <t>NÚMERO DE REGISTRO SANITARIO</t>
  </si>
  <si>
    <t>Precio Unitario</t>
  </si>
  <si>
    <t>Grecia</t>
  </si>
  <si>
    <t>010.000.4413.00</t>
  </si>
  <si>
    <t>Brimonidina</t>
  </si>
  <si>
    <t>Consecutivo</t>
  </si>
  <si>
    <r>
      <t xml:space="preserve">Inciso - </t>
    </r>
    <r>
      <rPr>
        <b/>
        <sz val="10"/>
        <color rgb="FFFF0000"/>
        <rFont val="Arial"/>
        <family val="2"/>
      </rPr>
      <t>Tabla apartado 5.</t>
    </r>
  </si>
  <si>
    <t>Prefijo Carpeta</t>
  </si>
  <si>
    <r>
      <t xml:space="preserve">Formatos </t>
    </r>
    <r>
      <rPr>
        <b/>
        <sz val="10"/>
        <color rgb="FFFF0000"/>
        <rFont val="Arial"/>
        <family val="2"/>
      </rPr>
      <t>- Anexo técnico</t>
    </r>
  </si>
  <si>
    <r>
      <t xml:space="preserve">Formatos </t>
    </r>
    <r>
      <rPr>
        <b/>
        <sz val="10"/>
        <color rgb="FFFF0000"/>
        <rFont val="Arial"/>
        <family val="2"/>
      </rPr>
      <t>- Convocatoria</t>
    </r>
  </si>
  <si>
    <t>Nombre de archivo</t>
  </si>
  <si>
    <t>Source</t>
  </si>
  <si>
    <t>Move</t>
  </si>
  <si>
    <t>Word header</t>
  </si>
  <si>
    <t>A. Formato para acreditación de personalidad Jurídica Anexo 10.</t>
  </si>
  <si>
    <t>Anexo 10 Acreditación personalidad</t>
  </si>
  <si>
    <t>L01 Acreditación.pdf</t>
  </si>
  <si>
    <t>os.path.join(working_folder, 'output')</t>
  </si>
  <si>
    <t>os.path.join(working_folder, 'Propuesta', 'Legal')</t>
  </si>
  <si>
    <t>Header: 1, Bookmark: ANEXO NÚMERO10</t>
  </si>
  <si>
    <t>DIRECCIÓN DE CORREO ELECTRÓNICO DEL LICITANTE</t>
  </si>
  <si>
    <t>e) Escrito de correo electrónico</t>
  </si>
  <si>
    <t>F. Escrito de Correo electrónico</t>
  </si>
  <si>
    <t>L02</t>
  </si>
  <si>
    <t>L01 Correo electrónico.pdf</t>
  </si>
  <si>
    <t>Header: 2, Bookmark: MANIFIESTO DE DIRECCIÓN DE CORREO ELECTRÓNICO</t>
  </si>
  <si>
    <t>ESCRITO DE NO ENCONTRARSE EN LOS SUPUESTOS DE LOS ARTÍCULOS 50 Y 60 DE LA LAASSP</t>
  </si>
  <si>
    <t>g) Formato H. Declaración de no encontrarse en los supuestos de los artículos 50 y 60 de la LAASSP.</t>
  </si>
  <si>
    <t>H. Manifestación de no ubicarse en los supuestos de los artículos 50 y 60 antepenútimo párrafo de la LAASSP. Anexo 11</t>
  </si>
  <si>
    <t>L03</t>
  </si>
  <si>
    <t>Anexo 11</t>
  </si>
  <si>
    <t>L03 Art 50 y 60 LAASSP.pdf</t>
  </si>
  <si>
    <t>Header: 3, Bookmark: ANEXO NÚMERO 11</t>
  </si>
  <si>
    <t>DECLARACIÓN DE INTEGRIDAD</t>
  </si>
  <si>
    <t>h) Formato I. Declaración de integridad</t>
  </si>
  <si>
    <t>I. Declaración de integridad. Anexo 13</t>
  </si>
  <si>
    <t>L04</t>
  </si>
  <si>
    <t>Anexo 13</t>
  </si>
  <si>
    <t>L04 Dec Integridad.pdf</t>
  </si>
  <si>
    <t>Header: 4, Bookmark: ANEXO NÚMERO 13</t>
  </si>
  <si>
    <t>No</t>
  </si>
  <si>
    <t>DOMICILIO PARA RECIBIR NOTIFICACIONES</t>
  </si>
  <si>
    <t>L05</t>
  </si>
  <si>
    <t>L05 Carta domicilio.pdf</t>
  </si>
  <si>
    <t>Header: 5, Bookmark: MANIFIESTO DE DOMICILIO PARA RECIBIR NOTIFICACIONES</t>
  </si>
  <si>
    <t>MANIFESTACIÓN DE NACIONALIDAD MEXICANA</t>
  </si>
  <si>
    <t>f) Manifiesto de Nacionalidad</t>
  </si>
  <si>
    <t>G. Manifiesto de Nacionalidad Anexo 12</t>
  </si>
  <si>
    <t>L06</t>
  </si>
  <si>
    <t>Anexo 12</t>
  </si>
  <si>
    <t>L06 Manifestación de nacionalidad.pdf</t>
  </si>
  <si>
    <t>Header: 6, Bookmark: ANEXO NÚMERO 12</t>
  </si>
  <si>
    <t>MANIFIESTO DE CUMPLIMIENTO DE NORMAS OFICIALES</t>
  </si>
  <si>
    <t>L07</t>
  </si>
  <si>
    <t>Anexo 9 Cumplimiento de Normas</t>
  </si>
  <si>
    <t>L07 NOMs.pdf</t>
  </si>
  <si>
    <t>Header: 7, Bookmark: ANEXO NÚMERO 9</t>
  </si>
  <si>
    <t>MANIFESTACIÓN DE DISCAPACIDAD</t>
  </si>
  <si>
    <t>L08</t>
  </si>
  <si>
    <t>L08 Discapacidad.pdf</t>
  </si>
  <si>
    <t>Header: 8, Bookmark: DECLARACIÓN DE PERSONAL CON DISCAPACIDAD</t>
  </si>
  <si>
    <t>D. Identificación vigente</t>
  </si>
  <si>
    <t>L11 INE.pdf</t>
  </si>
  <si>
    <t>Header: 9, Bookmark: IDENTIFICACIÓN OFICIAL DEL REPRESENTANTE LEGAL</t>
  </si>
  <si>
    <t>MANIFESTACIÓN DE NO UBICARSE EN LOS SUPUESTOS DE LOS ARTÍCULOS 50 Y 60 ANTEPENÚLTIMO PÁRRAFO DE LA LAASP ANEXO 11</t>
  </si>
  <si>
    <t>ESCRITO MEDIANTE EL CUAL EL LICITANTE MANIFIESTE BAJO PROTESTA DE DECIR VERDAD QUE NO SE UBICA EN LOS SUPUESTOS ESTABLECIDOS EN LOS ARTÍCULOS 50 Y 60 ANTEPENÚLTIMO PÁRRAFO DE LA LEY.</t>
  </si>
  <si>
    <t>L13</t>
  </si>
  <si>
    <t>L13 Art 50 y 60 LAASSP.pdf</t>
  </si>
  <si>
    <t>Header: 10, Bookmark: ANEXO NÚMERO 11</t>
  </si>
  <si>
    <t>MANIFESTACIÓN DE ESTRATIFICACIÓN ANEXO 14</t>
  </si>
  <si>
    <t>EN SU CASO, COPIA DEL DOCUMENTO EXPEDIDO POR AUTORIDAD COMPETENTE QUE DETERMINE SU ESTRATIFICACIÓN COMO MICRO, PEQUEÑA O MEDIANA EMPRESA O EN SU CASO PRESENTE UN ESCRITO ORIGINAL FIRMADO POR EL REPRESENTANTE LEGAL, EN PAPEL PREFERENTEMENTE MEMBRETADO DEL LICITANTE, DIRIGIDO A “LA CONVOCANTE”, EN EL QUE MANIFIESTEN BAJO PROTESTA DE DECIR VERDAD, QUE PERTENECEN AL SECTOR DE MICRO, PEQUEÑA O MEDIANA EMPRESA DE NACIONALIDAD MEXICANA, PARA LO CUAL DEBERÁ UTILIZAR EL FORMATO DE ESTA CONVOCATORIA.</t>
  </si>
  <si>
    <t>i) Formato J. Manifestación de la estratificación de micro, pequeña o mediana empresa (MyPYMES).</t>
  </si>
  <si>
    <t>J. Manifestación de estratificación Anexo 14</t>
  </si>
  <si>
    <t>L14</t>
  </si>
  <si>
    <t>Anexo 14</t>
  </si>
  <si>
    <t>L14 Estratificación.pdf</t>
  </si>
  <si>
    <t>Header: 11, Bookmark: ANEXO NÚMERO 14</t>
  </si>
  <si>
    <t>MANIFESTACIÓN DE OBLIGACIONES FISCALES ESCRITO LIBRE</t>
  </si>
  <si>
    <t>ESCRITO EN EL QUE EL LICITANTE MANIFIESTE BAJO PROTESTA DE DECIR VERDAD HABER CUMPLIDO CON SUS OBLIGACIONES FISCALES Y ESTAR AL CORRIENTE EN EL PAGO DE IMPUESTOS. EN CASO DE SER EMPRESA DE RECIENTE CREACIÓN PRESENTAR COPIA DE ALTA ANTE LA SECRETARÍA DE HACIENDA Y CRÉDITO PÚBLICO.</t>
  </si>
  <si>
    <t>j) Manifestación de obligaciones fiscales escrito libre</t>
  </si>
  <si>
    <t>K. Manifestación de obligaciones fiscales. Escrito Libre</t>
  </si>
  <si>
    <t>L15</t>
  </si>
  <si>
    <t>L15 Obligaciones fiscales.pdf</t>
  </si>
  <si>
    <t>Header: 12, Bookmark: DECLARACIÓN DE CUMPLIMIENTO DE OBLIGACIONES FISCALES</t>
  </si>
  <si>
    <t>MANIFIESTO DE CONTAR CON TODOS Y CADA UNO DE LOS PERMISOS, AUTORIZACIONES O AVISOS. ESCRITO LIBRE</t>
  </si>
  <si>
    <t>ESCRITO MANIFESTANDO BAJO PROTESTA DE DECIR VERDAD QUE EL LICITANTE, EN CASO DE RESULTAR ADJUDICADO, SERÁ RESPONSABLE DE CONTAR CON TODOS Y CADA UNO DE LOS PERMISOS, AUTORIZACIONES O AVISOS QUE, EN SU CASO, APLIQUEN ANTE LAS DIVERSAS AUTORIDADES PARA LA ENTREGA DE LOS BIENES OBJETO DE ESTE PROCEDIMIENTO DE LICITACIÓN PÚBLICA NACIONAL Y DE QUE ASUMIRÁ LA RESPONSABILIDAD TOTAL EN CASO DE QUE INFRINJA PATENTES, MARCAS, CERTIFICADOS DE INVENCIÓN O DERECHOS DE AUTOR DURANTE LA VIGENCIA DEL CONTRATO.</t>
  </si>
  <si>
    <t>n) Manifiesto de contar con todos y cada uno de los permiso, autorizaciones o avisos escrito libre</t>
  </si>
  <si>
    <t>O. Manifiesto de contar con todos y cada uno de los permisos, autorizaciones o avisos. Escrito Libre</t>
  </si>
  <si>
    <t>L19</t>
  </si>
  <si>
    <t>L19 Todos los permisos.pdf</t>
  </si>
  <si>
    <t>Header: 13, Bookmark: MANIFIESTO DE CONTAR CON TODOS Y CADA UNO DE LOS PERMISOS, AUTORIZACIONES O AVISOS.</t>
  </si>
  <si>
    <t>MANIFIESTO DE CONOCER Y ACEPTAR EL CONTENIDO DE LA CONVOCATORIA ESCRITO LIBRE</t>
  </si>
  <si>
    <t>ESCRITO MANIFESTANDO BAJO PROTESTA DE DECIR VERDAD, QUE EL LICITANTE CONOCE Y ACEPTA EL CONTENIDO DE ESTA CONVOCATORIA, INCLUYENDO SUS ANEXOS, ASÍ COMO DEL ACTA DERIVADA DE LA JUNTA DE ACLARACIONES RESPECTIVA.</t>
  </si>
  <si>
    <t>o) Manifiesto de conocer y aceptar el contenido de la convocatoria escrito libre</t>
  </si>
  <si>
    <t>P. Manifiesto de conocer y aceptar el contenido de la convocatoria. Escrito libre.</t>
  </si>
  <si>
    <t>L20</t>
  </si>
  <si>
    <t>L20 Conocer contenido.pdf</t>
  </si>
  <si>
    <t>Header: 14, Bookmark: MANIFIESTO DE CONOCER Y ACEPTAR EL CONTENIDO DE LA CONVOCATORIA</t>
  </si>
  <si>
    <t>MANIFIESTO PARA VERIFICAR ANTE LAS INSTANCIAS CORRESPONDIENTES LA VERACIDAD DE LOS DOCUMENTOS ESCRITO LIBRE</t>
  </si>
  <si>
    <t>ESCRITO MANIFESTANDO BAJO PROTESTA DE DECIR VERDAD, QUE AUTORIZA A “LA CONVOCANTE” A VERIFICAR ANTE LAS INSTANCIAS CORRESPONDIENTES, LA VERACIDAD DE LOS DOCUMENTOS PRESENTADOS EN ESTE PROCEDIMIENTO DE LICITACIÓN.</t>
  </si>
  <si>
    <t>p) Manifiesto para verificar ante las instancias correspondientes la veracidad de los documentos Escrito Libre</t>
  </si>
  <si>
    <t xml:space="preserve">Q. Manifiesto para verificar ante las instancias correspondientes la veracidad de los documentos. Escrito libre. </t>
  </si>
  <si>
    <t>L21</t>
  </si>
  <si>
    <t>L21 Veracidad.pdf</t>
  </si>
  <si>
    <t>Header: 15, Bookmark: MANIFIESTO PARA VERIFICAR ANTE LAS INSTANCIAS CORRESPONDIENTES LA VERACIDAD DE LOS DOCUMENTOS</t>
  </si>
  <si>
    <t>MANIFIESTO DE NO CONFLICTO DE INTERESES ESCRITO LIBRE</t>
  </si>
  <si>
    <t>ESCRITO MANIFESTANDO BAJO PROTESTA DE DECIR VERDAD, QUE MI REPRESENTADA, SUS SOCIOS, ACCIONISTAS, ADMINISTRADORES, REPRESENTANTES LEGALES, EJECUTIVOS DE VENTAS O COMERCIALIZACIÓN NO SE ENCUENTRAN EN LOS SUPUESTOS DE IMPEDIMENTOS LEGALES CORRESPONDIENTES, NI INHABILITADO O SANCIONADO POR LA SECRETARÍA DE LA FUNCIÓN PÚBLICA O AUTORIDADES COMPETENTES DE LOS GOBIERNOS DE LAS ENTIDADES FEDERATIVAS O MUNICIPIOS. ASIMISMO, PARA PREVENIR Y EVITAR LA CONFIGURACIÓN DE CONFLICTO DE INTERESES, IGUALMENTE LOS SOCIOS, DIRECTIVOS, ACCIONISTAS, ADMINISTRADORES, COMISARIOS REPRESENTANTES LEGALES, Y EL PERSONAL DE VENTAS, COMERCIALIZACIÓN, RELACIONES PÚBLICAS, NO TIENEN, Y NO HAN TENIDO EN EL ÚLTIMO AÑO, RELACIÓN PERSONAL, PROFESIONAL, LABORAL, FAMILIAR O DE NEGOCIOS CON LOS SERVIDORES PÚBLICOS DE ESTA ENTIDAD.</t>
  </si>
  <si>
    <t>q) Manifiesto de no conflicto de interés escrito libre</t>
  </si>
  <si>
    <t xml:space="preserve">R. Manifiesto de no conflicto de intereses. Escrito libre. </t>
  </si>
  <si>
    <t>L22</t>
  </si>
  <si>
    <t>L22 Manifiesto no conflicto interés.pdf</t>
  </si>
  <si>
    <t>Header: 16, Bookmark: MANIFIESTO DE NO CONFLICTO DE INTERESES</t>
  </si>
  <si>
    <t>MANIFIESTO DE CONFIDENCIALIDAD DE DATOS PERSONALES ANEXO 17</t>
  </si>
  <si>
    <t>MANIFIESTO BAJO PROTESTA DE DECIR VERDAD, CONFIDENCIALIDAD DE DATOS PERSONALES</t>
  </si>
  <si>
    <t>s) Manifiesto de confidencialidad de datos personales Anexo 17</t>
  </si>
  <si>
    <t>T. Manifiesto de confidencialidad de datos personales. Anexo 17.</t>
  </si>
  <si>
    <t>L24</t>
  </si>
  <si>
    <t>Anexo 17</t>
  </si>
  <si>
    <t>L24 Confidencialidad datos.pdf</t>
  </si>
  <si>
    <t>Header: 17, Bookmark: ANEXO NÚMERO 17</t>
  </si>
  <si>
    <t>AVISO DE PRIVACIDAD ESCRITO LIBRE</t>
  </si>
  <si>
    <t>ESCRITO EN EL QUE SEÑALE QUE CONOCE EL AVISO DE PRIVACIDAD DE BIRMEX</t>
  </si>
  <si>
    <t>t) Aviso de Privacidad. Escrito libre</t>
  </si>
  <si>
    <t>U. Aviso de privacidad. Escrito libre</t>
  </si>
  <si>
    <t>L25</t>
  </si>
  <si>
    <t>L25 Aviso privacidad.pdf</t>
  </si>
  <si>
    <t>Header: 18, Bookmark: AVISO DE PRIVACIDAD</t>
  </si>
  <si>
    <t>ESCRITO DE INFORMACIÓN RESERVADA ESCRITO LIBRE</t>
  </si>
  <si>
    <t>ESCRITO DE INFORMACIÓN RESERVADA Y CONFIDENCIAL</t>
  </si>
  <si>
    <t>u) Escrito de información reservada. Escrito Libre</t>
  </si>
  <si>
    <t>V. Escrito de información reservada. Escrito libre</t>
  </si>
  <si>
    <t>L26</t>
  </si>
  <si>
    <t>L26 Información reservada.pdf</t>
  </si>
  <si>
    <t>Header: 19, Bookmark: INFORMACIÓN RESERVADA Y CONFIDENCIAL</t>
  </si>
  <si>
    <t>MODELO DE PARTICIPACIÓN CONJUNTA ANEXO 6</t>
  </si>
  <si>
    <t>MODELO DE PARTICIPACIÓN CONJUNTA, (EN CASO DE PARTICIPAR CONJUNTAMENTE). ÚNICA Y EXCLUSIVAMENTE PARA EL CASO DE PROPOSICIONES CONJUNTAS, EL REPRESENTANTE COMÚN DE LA AGRUPACIÓN DEBERÁ SEÑALAR EN EL ACTO DE PRESENTACIÓN Y APERTURA DE PROPOSICIONES QUE LA PROPOSICIÓN QUE PRESENTA ES EN FORMA CONJUNTA. DE SER EL CASO, EL LICITANTE DEBERÁ PRESENTAR CONVENIO FIRMADO POR CADA UNA DE LAS PERSONAS QUE INTEGREN UNA PROPOSICIÓN CONJUNTA, EL CUAL DEBERÁ INDICAR LAS OBLIGACIONES ESPECÍFICAS DEL CONTRATO QUE CORRESPONDERÁ A CADA UNA DE ELLAS.</t>
  </si>
  <si>
    <t>w) Convenio de participación conjunta, así como manifiesto de no existir impedimento para participar y declaración de integridad por cada uno de los licitantes que participan en el convenio</t>
  </si>
  <si>
    <t>W. Modelo de participación conjunta Anexo 6</t>
  </si>
  <si>
    <t>L27</t>
  </si>
  <si>
    <t>L27 Participación conjunta.pdf</t>
  </si>
  <si>
    <t>Header: 20, Bookmark: ANEXO NÚMERO 6</t>
  </si>
  <si>
    <t>DECLARACIÓN DE PROTOCOLO</t>
  </si>
  <si>
    <t>ESCRITO DE DECLARACIÓN DE PROTOCOLO.</t>
  </si>
  <si>
    <t>x) Declaración del protocol</t>
  </si>
  <si>
    <t>X. Declaración de protocolo</t>
  </si>
  <si>
    <t>L28</t>
  </si>
  <si>
    <t>L28 Declaracion protocolo.pdf</t>
  </si>
  <si>
    <t>Header: 21, Bookmark: DECLARACIÓN DE PROTOCOLO</t>
  </si>
  <si>
    <t>MANIFIESTO DE ACEPTACIÓN DE PROPOSICIONES DAÑADAS O CON VIRUS ANEXO 15</t>
  </si>
  <si>
    <t>PARA DAR CUMPLIMIENTO AL NUMERAL 29 DEL ACUERDO, EL LICITANTE MEDIANTE ESCRITO LIBRE, DEBERÁ MANIFESTAR SU ACEPTACIÓN DE QUE SE TENGAN POR NO PRESENTADAS SUS PROPOSICIONES CUANDO EL O LOS ARCHIVO (S) ELECTRÓNICO (S) EN QUE SE CONTENGAN Y/O DEMÁS INFORMACIÓN ENVIADA A TRAVÉS DE COMPRANET NO PUEDA ABRIRSE POR TENER ALGÚN VIRUS INFORMÁTICO O POR CUALQUIER CAUSA AJENA A LA CONVOCANTE.</t>
  </si>
  <si>
    <t>z) Manifiesto de aceptación de proposiciones dañadas o con virus. Anexo 15</t>
  </si>
  <si>
    <t>Z. Manifiesto de aceptación de proposiciones dañadas o con virus. Anexo 15.</t>
  </si>
  <si>
    <t>L29</t>
  </si>
  <si>
    <t>Anexo 15</t>
  </si>
  <si>
    <t>L29 Propuesta dañada.pdf</t>
  </si>
  <si>
    <t>Header: 22, Bookmark: ANEXO NÚMERO 15</t>
  </si>
  <si>
    <t>MANIFIESTO DE NO INHABILITACIÓN</t>
  </si>
  <si>
    <t>MANIFIESTO DE NO INHABILITACIÓN.</t>
  </si>
  <si>
    <t>za) Manifiesto de no inhabilitación</t>
  </si>
  <si>
    <t>ZA. Manifiesto de no inhabilitación.</t>
  </si>
  <si>
    <t>L30</t>
  </si>
  <si>
    <t>L30 no inhabilitación.pdf</t>
  </si>
  <si>
    <t>Header: 23, Bookmark: MANIFIESTO DE NO INHABILITACIÓN</t>
  </si>
  <si>
    <t>MANIFIESTO DE CONTAR CON RECURSOS ESCRITO LIBRE</t>
  </si>
  <si>
    <t>MANIFIESTO DE CONTAR CON RECURSOS HUMANOS, TÉCNICOS, FINANCIEROS Y DEMÁS REQUISITOS.</t>
  </si>
  <si>
    <t>zb) Manifiesto de contar con recursos. Escrito libre</t>
  </si>
  <si>
    <t>ZB. Manifiesto de contar con recursos. Escrito Libre.</t>
  </si>
  <si>
    <t>L31</t>
  </si>
  <si>
    <t>L31 Recursos.pdf</t>
  </si>
  <si>
    <t>Header: 24, Bookmark: MANIFIESTO DE CONTAR CON RECURSOS</t>
  </si>
  <si>
    <t>ANEXO 23 MANIFIESTO LICITACION PUBLICA INTERNACIONAL ABIERTA</t>
  </si>
  <si>
    <t>MANIFESTACIÓN QUE DEBERÁN PRESENTAR LOS PROVEEDORES QUE PARTICIPEN EN LICITACIONES PUBLICAS INTERNACIONALES ABIERTAS PARA LA ADQUISICIÓN DE BIENES.</t>
  </si>
  <si>
    <t>zd) Anexo 23</t>
  </si>
  <si>
    <t>ZD. Anexo 23</t>
  </si>
  <si>
    <t>L33</t>
  </si>
  <si>
    <t>L33 Anexo 23.pdf</t>
  </si>
  <si>
    <t>Header: 25, Bookmark: ANEXO NÚMERO 24</t>
  </si>
  <si>
    <t>ANEXO 24 MANIFIESTO LICITACION PUBLICA INTERNACIONAL ABIERTA</t>
  </si>
  <si>
    <t>zf) Anexo 24</t>
  </si>
  <si>
    <t>ZF Anexo 24</t>
  </si>
  <si>
    <t>L34</t>
  </si>
  <si>
    <t>L34 Anexo 24.pdf</t>
  </si>
  <si>
    <t>Header: 26, Bookmark: ANEXO NÚMERO 25</t>
  </si>
  <si>
    <t>Documentos adicionales</t>
  </si>
  <si>
    <t>L35 Relación de documentos.pdf</t>
  </si>
  <si>
    <t>Header: 27, Bookmark: ANEXO NÚMERO 16</t>
  </si>
  <si>
    <t>Económico</t>
  </si>
  <si>
    <t>MANIFIESTO BAJO PROTESTA DE DECIR VERDAD QUE ACEPTA LAS CONDICIONES DE PAGO</t>
  </si>
  <si>
    <t>MANIFIESTO BAJO PROTESTA DE DECIR VERDAD QUE ACEPTA LAS CONDICIONES DE PAGO DE CONFORMIDAD CON EL ART. 51 DE LA LAASSP</t>
  </si>
  <si>
    <t>b) Manifiesto Bajo protesta de decir verdad que acepta las condiciones de pago de conformidad con el artículo 51 de la LAASSP</t>
  </si>
  <si>
    <t>E01</t>
  </si>
  <si>
    <t>E01 Aceptación de condiciones de pago.pdf</t>
  </si>
  <si>
    <t>os.path.join(working_folder, 'Propuesta', 'Económica')</t>
  </si>
  <si>
    <t>Header: 28, Bookmark: MANIFIESTO BAJO PROTESTA DE DECIR VERDAD QUE ACEPTA LAS CONDICIONES DE PAGO</t>
  </si>
  <si>
    <t>PROPOSICIÓN ECONÓMICA EN FORMATO PDF</t>
  </si>
  <si>
    <t>EN APEGO A LO SEÑALADO EN EL ARTÍCULO 34 DE LA LAASSP LOS LICITANTES DEBERÁN PRESENTAR SU PROPOSICIÓN ECONÓMICA DE CONFORMIDAD CON LO SEÑALADO EN EL ANEXO 8.1 FORMATO PARA LA PRESENTACIÓN DE LA PROPUESTA ECONÓMICA PARA MEDICAMENTOS Y BIENES TERAPÉUTICOS Y ANEXO 8.2 FORMATO PARA LA PRESENTACIÓN DE LA PROPUESTA ECONÓMICA PARA MATERIAL DE CURACIÓN Y AUXILIARES DE DIAGNÓSTICO RESPECTIVAMENTE EN FORMATO PDF</t>
  </si>
  <si>
    <t>a) Anexo 8.1 Formato L Propuesta económica</t>
  </si>
  <si>
    <t>E02</t>
  </si>
  <si>
    <t>Formato L</t>
  </si>
  <si>
    <t>Anexo 8.1 Formato L</t>
  </si>
  <si>
    <t>E02 A Propuesta económica.pdf</t>
  </si>
  <si>
    <t>Header: 29, Bookmark: ANEXO 8.1 FORMATO L</t>
  </si>
  <si>
    <t>Técnico</t>
  </si>
  <si>
    <t>PROPUESTA TÉCNICA</t>
  </si>
  <si>
    <t>LOS LICITANTES DEBERÁN PRESENTAR SU PROPUESTA TÉCNICA PARA LAS CLAVES, PREFERENTEMENTE EN HOJA MEMBRETADA, INVARIABLEMENTE FIRMADA POR EL REPRESENTANTE LEGAL EN LA ÚLTIMA PÁGINA Y RUBRICADO EN SUS DEMÁS PÁGINAS</t>
  </si>
  <si>
    <t>a) Propuesta técnica</t>
  </si>
  <si>
    <t>T01</t>
  </si>
  <si>
    <t>Formato 2 Propuesta técnica para medicamentos</t>
  </si>
  <si>
    <t>Anexo 7.1 formato A Propuesta técnica para medicamentos</t>
  </si>
  <si>
    <t>T01 Propuesta técnica.pdf</t>
  </si>
  <si>
    <t>os.path.join(working_folder, 'Propuesta', 'Técnica')</t>
  </si>
  <si>
    <t>Header: 30, Bookmark: ANEXO 7.1 FORMATO A</t>
  </si>
  <si>
    <t>MANIFIESTO DE CUMPLIMIENTO DE NORMAS</t>
  </si>
  <si>
    <t>MANIFIESTO DE CUMPLIMIENTO DE NORMAS PREFERENTEMENTE EN PAPEL MEMBRETADO, SUSCRITO POR EL LICITANTE DE CONFORMIDAD CON LO SEÑALADO EN EL ANEXO TECNICO 1 Y ANEXO TECNICO 2 INDICADO EN EL REGISTRO SANITARIO EN EL QUE HAGA REFERENCIA A LAS CLAVES Y REGISTROS SANITARIOS OFERTADOS, EN EL QUE MANIFIESTE QUE LOS BIENES TERAPÉUTICOS OFERTADOS CUMPLEN CON LO ESTABLECIDO EN LAS DISPOSICIONES CONTENIDAS EN EL PRESENTE ANEXO TÉCNICO. ANEXO 9 FORMATO C “MANIFIESTO DE CUMPLIMIENTO DE NORMAS</t>
  </si>
  <si>
    <t>b) Manifiesto de cumplimiento de Normas</t>
  </si>
  <si>
    <t>T02</t>
  </si>
  <si>
    <t>Formato 4 Manifiesto de cumplimiento de Normas Oficiales Mexicanas</t>
  </si>
  <si>
    <t>T02 Manifiesto normas.pdf</t>
  </si>
  <si>
    <t>Header: 31, Bookmark: FORMATO 4</t>
  </si>
  <si>
    <t>CARTA COMPROMISO CONTRA DEFECTOS Y VICIOS OCULTOS</t>
  </si>
  <si>
    <t>EL LICITANTE DEBERÁ ENTREGAR CARTA EN LA QUE MANIFIESTE QUE, EN CASO DE RESULTAR ADJUDICADO, GARANTIZARÁ CONTRA VICIOS OCULTOS Y DEFECTOS DE FABRICACIÓN, COMPROMETIÉNDOSE A REALIZAR EL CANJE DE LOS BIENES POR OTROS LOTES QUE NO PRESENTEN LOS DEFECTOS O VICIOS OCULTOS IDENTIFICADOS, DEBIENDO ADJUNTAR EN CASO DE QUE SE DETECTE INCUMPLIMIENTO A ESPECIFICACIONES TÉCNICAS, INFORME DE RESULTADOS DEL ANÁLISIS PRACTICADO POR UN LABORATORIO TERCERO AUTORIZADO POR COFEPRIS. ANEXO 20 FORMATO B. “CARTA COMPROMISO CONTRA DEFECTOS Y VICIOS OCULTOS”.</t>
  </si>
  <si>
    <t>i) El licitante deberá entregar Carta en la qu manifieste, en caso de resultar adjudicado, garantizará contra vicios ocultos y defectos de fabricación, comprometiéndose a realizar el canje de los bienes por otros lotes. Formato B "Carta compromiso contra defectos y vicios ocultos".</t>
  </si>
  <si>
    <t>T06</t>
  </si>
  <si>
    <t>Formato 5 Carta compromiso de canje de medicamentos</t>
  </si>
  <si>
    <t>Anexo 19 Vicios ocultos</t>
  </si>
  <si>
    <t>T06 Vicios Ocultos.pdf</t>
  </si>
  <si>
    <t>Header: 32, Bookmark: ANEXO NÚMERO 22</t>
  </si>
  <si>
    <t>CARTA COMPROMISO DE CANJE</t>
  </si>
  <si>
    <t>EL LICITANTE DEBERÁ ENTREGAR CARTA EN LA QUE MANIFIESTE QUE, EN CASO DE RESULTAR ADJUDICADO GARANTIZARÁ QUE, AL MOMENTO DE LA ENTREGA DE LOS BIENES, LA FECHA DE CADUCIDAD SERÁ SUPERIOR A 12 MESES, ASÍ COMO EN CASO DE QUE LOS BIENES CUENTEN CON UN LAPSO DE CADUCIDAD DE 9 A 12 MESES PRESENTARÁN A LA ENTREGA DE LOS BIENES, FORMATO B “CARTA COMPROMISO DE CANJE” POR CADA LOTE DE BIENES</t>
  </si>
  <si>
    <t>j) El licitante deberá entregar carta en la que manifieste que, en caso de resultar adjudicado, garantirzará que, al momento de entrega de los bienes, la fecha de caducidad será superior a 12 meses. Formato B "Carta compromiso de Canje"</t>
  </si>
  <si>
    <t>T07</t>
  </si>
  <si>
    <t>Formato 6 Carta compromiso del fabricante de los bienes Garantizando el Periodo de caducidad.</t>
  </si>
  <si>
    <t>Anexo 21 Formato B. Carta compromiso de canje</t>
  </si>
  <si>
    <t>T07 Compromiso canje.pdf</t>
  </si>
  <si>
    <t>Header: 33, Bookmark: ANEXO NÚMERO 21</t>
  </si>
  <si>
    <t>CARTA COMPROMISO PARA APLICAR PRUEBAS</t>
  </si>
  <si>
    <t>EL LICITANTE DEBERÁ ADJUNTAR ESCRITO EN EL QUE MANIFIESTE: “QUE DE RESULTAR ADJUDICADO SE COMPROMETERÁ A REALIZAR, CUANDO ASÍ SE CONSIDERE NECESARIO Y A SOLICITUD DE LAS PARTICIPANTES SIN COSTO ALGUNO, EN UN PLAZO NO MAYOR A CINCO DÍAS HÁBILES POSTERIORES A LA NOTIFICACIÓN DE LA SOLICITUD, LAS PRUEBAS QUE ACREDITEN LA CORRESPONDENCIA DE LOS RESULTADOS CON LAS ESPECIFICACIONES, CALIDAD DEL BIEN Y VALORES INDICADOS EN LA FARMACOPEA DE LOS ESTADOS UNIDOS MEXICANOS, ELABORADOS POR UN LABORATORIO DE PRUEBAS “TERCERO AUTORIZADO” POR LA COFEPRIS, OBLIGÁNDOSE A HACER ENTREGA DEL RESULTADO DE LAS MISMAS EN UN PLAZO NO MAYOR A DOS DÍAS HÁBILES POSTERIOR A SU EMISIÓN. LA PRESENTACIÓN DE DICHO ESCRITO ES OBLIGATORIA, POR LO QUE PARA EL CASO DE QUE EL LICITANTE QUE NO LO MANIFIESTE EN SU PROPUESTA TÉCNICA SERÁ DESECHADA. ANEXO 22 FORMATO E “CARTA COMPROMISO PARA APLICAR PRUEBAS”</t>
  </si>
  <si>
    <t>k) Anexo 22 Formato E Carta compromiso para aplicar pruebas</t>
  </si>
  <si>
    <t>T08</t>
  </si>
  <si>
    <t>Formato 7. Carta compromiso para aplicar pruebas medicamentos.</t>
  </si>
  <si>
    <t>Anexo 23. Formato E. Carta compromiso para aplicar pruebas</t>
  </si>
  <si>
    <t>T08 Aplicar pruebas.pdf</t>
  </si>
  <si>
    <t>Header: 34, Bookmark: ANEXO NÚMERO 23</t>
  </si>
  <si>
    <t>BIENES QUE NO REQUIEREN REGISTRO SANITARIO</t>
  </si>
  <si>
    <t>PARA EL CASO DE LOS BIENES QUE NO REQUIEREN REGISTRO SANITARIO, EL LICITANTE DEBERÁ PRESENTAR LO SIGUIENTE: - CONSTANCIA EMITIDA POR LA COFEPRIS EN LA QUE SE SEÑALE QUE EL BIEN OFERTADO NO REQUIERE DE REGISTRO SANITARIO, EN LA QUE INDIQUE DE MANERA EXPRESA LA CLAVE Y/O DESCRIPCIÓN DEL MISMO OCOPIA DE LOS “ACUERDOS POR EL QUE SE DAN A CONOCER EL LISTADO DE INSUMOS PARA LA SALUD CONSIDERADOS COMO DE BAJO RIESGO PARA EFECTOS DE OBTENCIÓN DEL REGISTRO SANITARIO, Y DE AQUELLOS PRODUCTOS QUE POR SU NATURALEZA, CARACTERÍSTICAS PROPIAS Y USO NO SE CONSIDERAN COMO INSUMOS PARA LA SALUD Y POR ENDE NO REQUIEREN REGISTRO SANITARIO”, PUBLICADOS EN EL DIARIO OFICIAL DE LA FEDERACIÓN DE FECHAS 31 DE DICIEMBRE DE 2021 Y EL 22 DE DICIEMBRE DEL 2014, DEBIDAMENTE REFERENCIADOS Y, ETIQUETA DEL PRODUCTO TERMINADO PARA SU COMERCIALIZACIÓN, QUE ACREDITE EL CUMPLIMIENTO DE LA DESCRIPCIÓN DEL BIEN INDICADA EN EL APÉNDICE 1 DEMANDA AGREGADA DEL PRESENTE ANEXO TÉCNICO, EN IDIOMA ESPAÑOL, IDENTIFICANDO O REFERENCIANDO LA CLAVE DEL BIEN OFERTADO A 10 DÍGITOS; LA ETIQUETA SE DEFINE COMO EL MARBETE, RÓTULO, MARCA E IMAGEN GRÁFICA, QUE SE HAYA ESCRITO, IMPRESO, ESTARCIDO, MARCADO, MARCADO EN RELIEVE O EN HUECO, GRABADO, ADHERIDO O PRECINTADO EN CUALQUIER MATERIAL SUSCEPTIBLE DE CONTENER EL INSUMO, INCLUYENDO EL ENVASE MISMO; QUE PERMITA ACREDITAR CLARAMENTE LAS ESPECIFICACIONES Y CARACTERÍSTICAS DE LOS BIENES OFERTADOS, DOCUMENTAL QUE DEBERÁ EXHIBIRSE</t>
  </si>
  <si>
    <t>T09</t>
  </si>
  <si>
    <t>T09 Bienes que no requieren registro sanitario.pdf</t>
  </si>
  <si>
    <t>Header: 35, Bookmark: BIENES QUE NO REQUIEREN REGISTRO SANITARIO</t>
  </si>
  <si>
    <t>Word-PDF</t>
  </si>
  <si>
    <t>REGISTRO SANITARIO</t>
  </si>
  <si>
    <t>PARA LA OFERTA DE BIENES, LOS LICITANTES DEBERÁN SER TITULARES DEL REGISTRO SANITARIO O SU REPRESENTANTE LEGAL EN MÉXICO O QUIEN ESTE AUTORIZADO EN EL REGISTRO SANITARIO. EN CASO DE SER EL TITULAR DEL REGISTRO SANITARIO O REPRESENTANTE LEGAL EN MÉXICO DEBERÁ PRESENTAR: COPIA LEGIBLE DEL “REGISTRO SANITARIO” (ANVERSO Y REVERSO)/ OFICIO DE RECONOCIMIENTO DE PRODUCTO HUERFANO (ESTE ULTIMO EN LAS PARTIDAS QUE CONTIENEN CLAVES PARA LA ATENCION DE ENFERMEDADES CLASIFICADAS COMO RARAS) VIGENTES QUE CORRESPONDEN A LA DESCRIPCIÓN PARA CADA UNA DE LAS PARTIDAS OFERTADAS. LOS MEDICAMENTOS QUE SEAN IMPORTADOS Y QUE NO CUENTEN CON REGISTRO SANITARIO EN MÉXICO DEBERÁN PRESENTAR EL REGISTRO SANITARIO DE ALGUNA DE LAS AUTORIDADES MENCIONADAS EN EL ACUERDO PARA OBTENER EL PERMISO DE IMPORTACIÓN DE INSUMOS PARA LA SALUD DESTINADOS A GARANTIZAR EL ABASTO DEL SECTOR PÚBLICO Y DEBERÁN DE PRESENTAR, TRADUCCIÓN APOSTILLADA QUE ASÍ LO ACREDITE</t>
  </si>
  <si>
    <t>c) Para la oferta de bienes, los licitantes deberán ser titulares del Registro Sanitario o su Representante Legal en Méxicoo quien esté autorizado en el Registro Sanitario. 
En caso de ser el titular del Registro Sanitario o representante legal en México deberá presentar: Copia legible del Registro Sanitario (anverso y reverso)
Carta respaldo</t>
  </si>
  <si>
    <t>T03</t>
  </si>
  <si>
    <t>T03 Registros.pdf</t>
  </si>
  <si>
    <t>os.path.join(working_folder, 'Híbridos')</t>
  </si>
  <si>
    <t>Header: 36, Bookmark: ESCRITO LIBRE JUSTIFICANDO TRADUCCIONES SIMPLES</t>
  </si>
  <si>
    <t>Excel</t>
  </si>
  <si>
    <t>PROPOSICION ECONOMICA EN EXCEL (.XLS)</t>
  </si>
  <si>
    <t>EN APEGO A LO SEÑALADO EN EL ARTÍCULO 34 DE LA LAASSP LOS LICITANTES DEBERÁN PRESENTAR SU PROPOSICIÓN ECONÓMICA DE CONFORMIDAD CON LO SEÑALADO EN EL ANEXO 8.1 FORMATO PARA LA PRESENTACIÓN DE LA PROPUESTA ECONÓMICA PARA MEDICAMENTOS Y BIENES TERAPÉUTICOS Y ANEXO 8.2 FORMATO PARA LA PRESENTACIÓN DE LA PROPUESTA ECONÓMICA PARA MATERIAL DE CURACIÓN Y AUXILIARES DE DIAGNÓSTICO RESPECTIVAMENTE EN FORMATO EXCEL (.XLS)</t>
  </si>
  <si>
    <t>E03</t>
  </si>
  <si>
    <t>E02 A Propuesta económica.xlsx</t>
  </si>
  <si>
    <t>os.path.join(working_folder, 'Excel')</t>
  </si>
  <si>
    <t>Header: 37, Bookmark: MANIFIESTO DE MEJORES PRÁCTICAS EN LA PREVENCIÓN DE CONFLICTO DE INTERÉS</t>
  </si>
  <si>
    <t>MANIFIESTO DE MEJORES PRÁCTICAS EN LA PREVENCIÓN DE CONFLICTO DE INTERÉS</t>
  </si>
  <si>
    <t>ACUSE DE PRESENTACIÓN DEL MANIFIESTO A FIN DE FOMENTAR LAS MEJORES PRACTICAS EN LA PREVENCIÓN DE CONFLICTOS DE INTERÉS DE FECHA DE EMISIÓN DE 90 DÍAS NATURALES PREVIOS AL ACTO DE APERTURA DE PROPOSICIONES</t>
  </si>
  <si>
    <t>r) Manifiesto de mejores prácticas en la prevención de conflicto de interés.</t>
  </si>
  <si>
    <t>S. Manifiesto de mejores prácticas en la prevención de  conflicto de interés.</t>
  </si>
  <si>
    <t>L23</t>
  </si>
  <si>
    <t>L23 Acuse manifiesto SFP.pdf</t>
  </si>
  <si>
    <t>Header: 38, Bookmark: CADENA DE SUMINISTRO DEL REGISTRO SANITARIO 68527</t>
  </si>
  <si>
    <t>B. Acreditación de personalidad jurídica</t>
  </si>
  <si>
    <t>L09 Acta constitutiva.pdf</t>
  </si>
  <si>
    <t>os.path.join(working_folder, 'Fijos')</t>
  </si>
  <si>
    <t>Header: 39, Bookmark: VERIFICACIÓN DEL REGISTRO SANITARIO</t>
  </si>
  <si>
    <t>C. Acreditación de contar con facultades de representración</t>
  </si>
  <si>
    <t>L10 Poder.pdf</t>
  </si>
  <si>
    <t>CONSTANCIA DE SITUACIÓN FISCAL</t>
  </si>
  <si>
    <t>CONSTANCIA DE SITUACIÓN FISCAL PARA PERSONAS FÍSICAS Y MORALES CON FECHA DE 15 (QUINCE DÍAS PREVIOS) A LA FECHA DE APERTURA DE PROPUESTAS.</t>
  </si>
  <si>
    <t>E) . Constancia de situación fiscal</t>
  </si>
  <si>
    <t>L12</t>
  </si>
  <si>
    <t>L12 CSF enero.pdf</t>
  </si>
  <si>
    <t>OPINIÓN DE CUMPLIMIENTO DE OBLIGACIONES FISCALES 32-D (SAT)</t>
  </si>
  <si>
    <t>OPINIÓN DE CUMPLIMIENTO DE OBLIGACIONES FISCALES EN SENTIDO POSITIVO ANTE EL SERVICIO DE ADMINISTRACIÓN TRIBUTARIA (S.A.T.) (32-D) CON UNA VIGENCIA NO MAYOR A 30 DÍAS NATURALES A LA FECHA DE PRESENTACIÓN Y APERTURA DE PROPOSICIONES.</t>
  </si>
  <si>
    <t>k) Opinión de cumplimiento de obligaciones fiscales 32D (SAT)</t>
  </si>
  <si>
    <t>L. Opinión de cumplimiento de obligaciones fiscales 32-D (SAT)</t>
  </si>
  <si>
    <t>L16</t>
  </si>
  <si>
    <t>L16 Opinión SAT.pdf</t>
  </si>
  <si>
    <t>OPINIÓN DE CUMPLIMIENTO DE OBLIGACIONES FISCALES 32-D (IMSS)</t>
  </si>
  <si>
    <t>OPINIÓN DE CUMPLIMIENTO DE OBLIGACIONES FISCALES VIGENTE EN SENTIDO POSITIVO EN MATERIA DE SEGURIDAD SOCIAL. DE FECHA DE PRESENTACIÓN DE PROPOSICIONES, (JUNTO CON LA RELACIÓN DEL PERSONAL QUE SE ENCUENTRA ASEGURADO ANTE EL IMSS).</t>
  </si>
  <si>
    <t>l) Opinión de cumplimiento de obligaciones fiscales 32D (IMSS)</t>
  </si>
  <si>
    <t>M. Opinión de cumplimiento de obligaciones fiscales 32-D IMSS</t>
  </si>
  <si>
    <t>L17</t>
  </si>
  <si>
    <t>L17 IMSS enero.pdf</t>
  </si>
  <si>
    <t>DOCUMENTO DE NO ADEUDO EN MATERIA DE OBLIGACIONES ANTE EL INFONAVIT</t>
  </si>
  <si>
    <t>DOCUMENTO VIGENTE A LA FECHA DE PRESENTACIÓN Y APERTURA DE PROPUESTAS, EXPEDIDO POR EL INSTITUTO DEL FONDO NACIONAL DE LA VIVIENDA PARA LOS TRABAJADORES EN LA QUE SE EMITE SIN ADEUDO DE SUS OBLIGACIONES EN LA MATERIA.</t>
  </si>
  <si>
    <t xml:space="preserve">m) Documento de no adeudo en materia de obligaciones ante el infonavit. </t>
  </si>
  <si>
    <t>N. Documento de no adeudo en materia de obligaciones ante el infonavit</t>
  </si>
  <si>
    <t>L18</t>
  </si>
  <si>
    <t>L18 Infonavit enero.pdf</t>
  </si>
  <si>
    <t>COMPROBANTE DE DOMICILIO</t>
  </si>
  <si>
    <t>COMPROBANTE DE DOMICILIO A NOMBRE DEL LICITANTE (AGUA, TELÉFONO FIJO O LUZ CON FECHA NO MAYOR A 60 DÍAS NATURALES DE ANTELACIÓN A LA FECHA DE PRESENTACIÓN Y APERTURA, DE PROPOSICIONES, EL DOMICILIO SEÑALADO EN DICHO DOCUMENTO DEBERÁ SER EL MISMO QUE SEÑALA EN SU CONSTANCIA DE SITUACIÓN FISCAL.</t>
  </si>
  <si>
    <t>zc) Comprobante de domicilio</t>
  </si>
  <si>
    <t>ZC. Comprobante de domicilio.</t>
  </si>
  <si>
    <t>L32</t>
  </si>
  <si>
    <t>L32 Comprobante domicilio.pdf</t>
  </si>
  <si>
    <t>PROYECTO DE MARBETE</t>
  </si>
  <si>
    <t>POR CADA UNO DE LOS BIENES OFERTADOS, EL LICITANTE DEBERÁ INCLUIR COPIA DEL PROYECTO DE MARBETE AUTORIZADO POR LA COFEPRIS A COLOR Y CON FIRMA AUTÓGRAFA</t>
  </si>
  <si>
    <t>h) Por cada uno de los bienes ofertados, el licitante deberá incluir copia del proyecto de marbete autorizado por la COFEPRIS a color y con firma autógrafa.</t>
  </si>
  <si>
    <t>T05</t>
  </si>
  <si>
    <t>T05 Marbetes.pdf</t>
  </si>
  <si>
    <t>“INSTALACIÓN Y OPERACIÓN DE LA TECNOVIGILANCIA”</t>
  </si>
  <si>
    <t>EL LICITANTE DEBERÁ PRESENTAR DENTRO DE SU PROPUESTA TÉCNICA, EL DOCUMENTO EXPEDIDO POR LA COFEPRIS, EN EL QUE ESTÉ DEBIDAMENTE REGISTRADO QUE CUMPLE CON LO ESTABLECIDO EN LA NOM-240-SS1-2012 “INSTALACIÓN Y OPERACIÓN DE LA TECNOVIGILANCIA”, EN LA QUE SE INDICA EL NOMBRE DEL RESPONSABLE DE LA UNIDAD.</t>
  </si>
  <si>
    <t>T10</t>
  </si>
  <si>
    <t>T10 Farmacovigilancia.pdf</t>
  </si>
  <si>
    <t>PDF-PDF</t>
  </si>
  <si>
    <t>INFORMACIÓN PARA PRESCRIBIR</t>
  </si>
  <si>
    <t>EL LICITANTE DEBERÁ INTEGRAR COMO PARTE DE SU PROPUESTA TÉCNICA LA INFORMACIÓN PARA PRESCRIBIR REDUCIDA (IPP-R) Y SU PROYECTO DE MARBETE PRIMARIO AMPLIA (IPP-A).</t>
  </si>
  <si>
    <t>f) EL licitante deberá integrar como parte de su propeusta técnica la Información para prescribir Reducida y su Proyecto de Marebete primari Amplia (IPP-A)</t>
  </si>
  <si>
    <t>T04</t>
  </si>
  <si>
    <t>T04 IPP.pdf</t>
  </si>
  <si>
    <t>OTROS DOCUMENTOS</t>
  </si>
  <si>
    <t>L35</t>
  </si>
  <si>
    <t>d)</t>
  </si>
  <si>
    <t>T</t>
  </si>
  <si>
    <t>e)</t>
  </si>
  <si>
    <t>g) Patente. De ser el caso, copia legible de los documentos ccon los que se acreditque que el titular.</t>
  </si>
  <si>
    <t>Datos generales y notificaciones oficiales de los licitantes</t>
  </si>
  <si>
    <t>os.path.join(working_folder,'output', 'T03 Registros.pdf')</t>
  </si>
  <si>
    <t>os.path.join(working_folder,'Fijos', 'Brimonidine_4413_ipp.pdf')</t>
  </si>
  <si>
    <t>os.path.join(working_folder, 'Fijos','Brimonidine_4413_marbete.pdf')</t>
  </si>
  <si>
    <t>os.path.join(working_folder, 'output', 'L23 Acuse manifiesto SFP.pdf')</t>
  </si>
  <si>
    <t>os.path.join(working_folder,'Fijos', 'Eseotres_licencia.pdf')</t>
  </si>
  <si>
    <t>os.path.join(working_folder,'Fijos','Manifiesto SFP.pdf')</t>
  </si>
  <si>
    <t>os.path.join(working_folder,'Fijos', 'Aviso de funcionamiento.pdf')</t>
  </si>
  <si>
    <t>os.path.join(working_folder,'Fijos', 'Aviso de responsable sanitario.pdf')</t>
  </si>
  <si>
    <t>os.path.join(working_folder,'Fijos', 'Rafarm_licencia.pdf')</t>
  </si>
  <si>
    <t>os.path.join(working_folder,'output', 'Explicacion registro.pdf')</t>
  </si>
  <si>
    <t>os.path.join(working_folder,'Fijos', 'Brimonidine_4413_registro.pdf')</t>
  </si>
  <si>
    <t>os.path.join(working_folder,'output', 'Verificación registro.pdf')</t>
  </si>
  <si>
    <t>NUMERO DE PARTIDA</t>
  </si>
  <si>
    <t>CLAVE (12 DÍGITOS)</t>
  </si>
  <si>
    <t>GEN</t>
  </si>
  <si>
    <t>DF</t>
  </si>
  <si>
    <t>Descripción</t>
  </si>
  <si>
    <t>Unidad de Medida</t>
  </si>
  <si>
    <t>Cantidad Mínima</t>
  </si>
  <si>
    <t>Cantidad Máxima</t>
  </si>
  <si>
    <t>CÓDIGO DE BARRAS</t>
  </si>
  <si>
    <t>Importe total Mínimo</t>
  </si>
  <si>
    <t>Importe total Máximo</t>
  </si>
  <si>
    <t>Caducidad mínima</t>
  </si>
  <si>
    <t>Norma</t>
  </si>
  <si>
    <t>Licencia PT</t>
  </si>
  <si>
    <t>Membrete</t>
  </si>
  <si>
    <t>% RESPALDADO</t>
  </si>
  <si>
    <t>Rótulo</t>
  </si>
  <si>
    <t>Tipo de Registro</t>
  </si>
  <si>
    <t>ENV</t>
  </si>
  <si>
    <t>Frasco gotero</t>
  </si>
  <si>
    <t>Env</t>
  </si>
  <si>
    <t>Brimonidine</t>
  </si>
  <si>
    <t>Labatec Pharma SA
Fabricado por RAFARM S. A.</t>
  </si>
  <si>
    <t>13 meses</t>
  </si>
  <si>
    <t>Ley General de Salud.
Ley Federal para el Control de Precursores Químicos, Productos, Químicos Esenciales y Máquinas para Elaborar Cápsulas, Tabletas y/o Comprimidos.
Ley de Infraestructura de la Calidad
Reglamentos de la Ley General de Salud
Reglamento de Insumos para la Salud
Reglamento de la Ley General de Salud en Materia de Control Sanitario de Actividades, Establecimientos de Productos y Servicios. 
Farmacopea de los Estados Unidos Mexicanos (FEUM) y sus suplementos. Vigentes
Compendio Nacional de Insumos para la Salud
NOM-072-SSA1-2012
NOM-059-SSA1-2015
NOM-073-SSA1-2015
NOM-164-SSA1-2015
NOM-220-SSA1-2016
NOM-144-SEMARNAT-2017
ACUERDO PARA OBTENER EL PERMISO DE IMPORTACIÓN DE INSUMOS PARA LA SALUD DESTINADOS A GARANTIZAR EL ABASTO DEL SECTOR PÚBLICO</t>
  </si>
  <si>
    <t>Rafarm</t>
  </si>
  <si>
    <t>Partida: 713 Clave: 010.000.4413.00</t>
  </si>
  <si>
    <t>ACUERDO</t>
  </si>
  <si>
    <t>Expected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</si>
</sst>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7"/>
      <color theme="1"/>
      <name val="Calibri"/>
      <family val="2"/>
      <scheme val="minor"/>
    </font>
    <font>
      <sz val="7"/>
      <color theme="1"/>
      <name val="Calibri"/>
      <family val="2"/>
      <scheme val="minor"/>
    </font>
    <font>
      <b/>
      <sz val="10"/>
      <color theme="1"/>
      <name val="Arial"/>
      <family val="2"/>
    </font>
    <font>
      <b/>
      <sz val="11"/>
      <color rgb="FFFF0000"/>
      <name val="Calibri"/>
      <family val="2"/>
      <scheme val="minor"/>
    </font>
    <font>
      <b/>
      <sz val="10"/>
      <color rgb="FFFF0000"/>
      <name val="Arial"/>
      <family val="2"/>
    </font>
    <font>
      <sz val="10"/>
      <color theme="1"/>
      <name val="Arial"/>
      <family val="2"/>
    </font>
    <font>
      <sz val="8"/>
      <color theme="1"/>
      <name val="Arial"/>
      <family val="2"/>
    </font>
    <font>
      <sz val="10"/>
      <color rgb="FF000000"/>
      <name val="Arial"/>
      <family val="2"/>
    </font>
    <font>
      <sz val="11"/>
      <color rgb="FF000000"/>
      <name val="Calibri"/>
      <family val="2"/>
      <scheme val="minor"/>
    </font>
    <font>
      <sz val="9"/>
      <color theme="1"/>
      <name val="Calibri"/>
      <family val="2"/>
      <scheme val="minor"/>
    </font>
    <font>
      <b/>
      <sz val="11"/>
      <color rgb="FF00000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7"/>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46">
    <xf numFmtId="0" fontId="0" fillId="0" borderId="0" xfId="0"/>
    <xf numFmtId="0" fontId="3" fillId="0" borderId="0" xfId="0" applyFont="1"/>
    <xf numFmtId="0" fontId="3" fillId="2" borderId="0" xfId="0" applyFont="1" applyFill="1"/>
    <xf numFmtId="0" fontId="3" fillId="3" borderId="0" xfId="0" applyFont="1" applyFill="1"/>
    <xf numFmtId="0" fontId="4" fillId="0" borderId="0" xfId="0" applyFont="1" applyAlignment="1">
      <alignment vertical="top" wrapText="1"/>
    </xf>
    <xf numFmtId="0" fontId="4" fillId="2" borderId="0" xfId="0" applyFont="1" applyFill="1" applyAlignment="1">
      <alignment vertical="top" wrapText="1"/>
    </xf>
    <xf numFmtId="3" fontId="4" fillId="3" borderId="0" xfId="0" applyNumberFormat="1" applyFont="1" applyFill="1" applyAlignment="1">
      <alignment vertical="top" wrapText="1"/>
    </xf>
    <xf numFmtId="14" fontId="4" fillId="3" borderId="0" xfId="0" applyNumberFormat="1" applyFont="1" applyFill="1" applyAlignment="1">
      <alignment vertical="top" wrapText="1"/>
    </xf>
    <xf numFmtId="0" fontId="4" fillId="3" borderId="0" xfId="0" applyFont="1" applyFill="1" applyAlignment="1">
      <alignment vertical="top" wrapText="1"/>
    </xf>
    <xf numFmtId="3" fontId="4" fillId="0" borderId="0" xfId="0" applyNumberFormat="1" applyFont="1" applyAlignment="1">
      <alignment vertical="top" wrapText="1"/>
    </xf>
    <xf numFmtId="14" fontId="4" fillId="0" borderId="0" xfId="0" applyNumberFormat="1" applyFont="1" applyAlignment="1">
      <alignment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0" fontId="8" fillId="0" borderId="1" xfId="0" applyFont="1" applyBorder="1" applyAlignment="1">
      <alignment horizontal="left" vertical="top"/>
    </xf>
    <xf numFmtId="0" fontId="9" fillId="0" borderId="1" xfId="0" applyFont="1" applyBorder="1" applyAlignment="1">
      <alignment horizontal="left" vertical="top"/>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1" xfId="0"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horizontal="left" vertical="top" wrapText="1"/>
    </xf>
    <xf numFmtId="0" fontId="11" fillId="0" borderId="0" xfId="0" applyFont="1" applyAlignment="1">
      <alignment vertical="top" wrapText="1"/>
    </xf>
    <xf numFmtId="0" fontId="0" fillId="0" borderId="0" xfId="0" applyAlignment="1">
      <alignment vertical="top" wrapText="1"/>
    </xf>
    <xf numFmtId="0" fontId="9" fillId="4" borderId="1" xfId="0" applyFont="1" applyFill="1" applyBorder="1" applyAlignment="1">
      <alignment horizontal="left" vertical="top" wrapText="1"/>
    </xf>
    <xf numFmtId="0" fontId="11" fillId="0" borderId="1" xfId="0" applyFont="1" applyBorder="1" applyAlignment="1">
      <alignment vertical="top" wrapText="1"/>
    </xf>
    <xf numFmtId="0" fontId="0" fillId="0" borderId="1" xfId="0" applyBorder="1"/>
    <xf numFmtId="0" fontId="0" fillId="0" borderId="1" xfId="0" applyBorder="1" applyAlignment="1">
      <alignment wrapText="1"/>
    </xf>
    <xf numFmtId="0" fontId="10" fillId="0" borderId="1" xfId="0" applyFont="1" applyBorder="1" applyAlignment="1">
      <alignment vertical="top" wrapText="1"/>
    </xf>
    <xf numFmtId="0" fontId="8" fillId="0" borderId="2" xfId="0" applyFont="1" applyBorder="1" applyAlignment="1">
      <alignment horizontal="left" vertical="top" wrapText="1"/>
    </xf>
    <xf numFmtId="0" fontId="0" fillId="0" borderId="2" xfId="0" applyBorder="1" applyAlignment="1">
      <alignment horizontal="left" vertical="top" wrapText="1"/>
    </xf>
    <xf numFmtId="0" fontId="9" fillId="0" borderId="2" xfId="0" applyFont="1" applyBorder="1" applyAlignment="1">
      <alignment horizontal="left" vertical="top" wrapText="1"/>
    </xf>
    <xf numFmtId="0" fontId="9" fillId="0" borderId="0" xfId="0" applyFont="1" applyAlignment="1">
      <alignment horizontal="left" vertical="top"/>
    </xf>
    <xf numFmtId="0" fontId="8" fillId="0" borderId="0" xfId="0" applyFont="1" applyAlignment="1">
      <alignment horizontal="left" vertical="top"/>
    </xf>
    <xf numFmtId="0" fontId="8" fillId="0" borderId="0" xfId="0" applyFont="1" applyAlignment="1">
      <alignment horizontal="left" vertical="top" wrapText="1"/>
    </xf>
    <xf numFmtId="0" fontId="10" fillId="0" borderId="0" xfId="0" applyFont="1" applyAlignment="1">
      <alignment horizontal="left" vertical="top" wrapText="1"/>
    </xf>
    <xf numFmtId="0" fontId="12" fillId="0" borderId="1" xfId="0" applyFont="1" applyBorder="1" applyAlignment="1">
      <alignment vertical="top" wrapText="1"/>
    </xf>
    <xf numFmtId="0" fontId="2" fillId="0" borderId="1" xfId="0" applyFont="1" applyBorder="1" applyAlignment="1">
      <alignment vertical="top" wrapText="1"/>
    </xf>
    <xf numFmtId="0" fontId="13" fillId="0" borderId="1" xfId="0" applyFont="1" applyBorder="1" applyAlignment="1">
      <alignment vertical="top"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43" fontId="0" fillId="0" borderId="1" xfId="1" applyFont="1" applyBorder="1" applyAlignment="1">
      <alignment vertical="center"/>
    </xf>
    <xf numFmtId="43" fontId="0" fillId="0" borderId="1" xfId="0" applyNumberFormat="1" applyBorder="1" applyAlignment="1">
      <alignment vertical="center"/>
    </xf>
    <xf numFmtId="0" fontId="10" fillId="0" borderId="0" xfId="0" applyFont="1"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2025/Birmex%20Brimonidina/Cartas.xlsx" TargetMode="External"/><Relationship Id="rId2" Type="http://schemas.openxmlformats.org/officeDocument/2006/relationships/externalLinkPath" Target="file:///C:\Users\arman\Dropbox\Armando%20Cuaxospa%20ESEOTRES%20RESPALDO\Propuestas\2025\Birmex%20Brimonidina\Cartas.xlsx" TargetMode="External"/><Relationship Id="rId1" Type="http://schemas.openxmlformats.org/officeDocument/2006/relationships/externalLinkPath" Target="/Users/arman/Dropbox/Armando%20Cuaxospa%20ESEOTRES%20RESPALDO/Propuestas/2025/Birmex%20Brimonidina/Cart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re"/>
      <sheetName val="Parametrización"/>
      <sheetName val="Hybrids"/>
      <sheetName val="Agregada"/>
      <sheetName val="Campos"/>
      <sheetName val="Check List"/>
      <sheetName val="Formatos Agustín"/>
    </sheetNames>
    <sheetDataSet>
      <sheetData sheetId="0" refreshError="1"/>
      <sheetData sheetId="1" refreshError="1"/>
      <sheetData sheetId="2" refreshError="1"/>
      <sheetData sheetId="3">
        <row r="1">
          <cell r="U1" t="str">
            <v>2025-2026</v>
          </cell>
        </row>
        <row r="2">
          <cell r="A2" t="str">
            <v>No. Partida</v>
          </cell>
          <cell r="B2" t="str">
            <v>Clave</v>
          </cell>
          <cell r="E2" t="str">
            <v>Descripción del bien ofertado</v>
          </cell>
          <cell r="U2" t="str">
            <v>Máximos bianuales</v>
          </cell>
        </row>
        <row r="3">
          <cell r="U3" t="str">
            <v>Mínimo</v>
          </cell>
          <cell r="V3" t="str">
            <v>Máximo</v>
          </cell>
        </row>
        <row r="4">
          <cell r="A4">
            <v>1</v>
          </cell>
          <cell r="B4" t="str">
            <v>010.000.0080.00</v>
          </cell>
          <cell r="E4" t="str">
            <v>Nicotina. Tableta masticable cada tableta de goma masticable contiene: complejo de resina de nicotina al 20% equivalente a 2.0 mg de nicotina. Envase con 30 tabletas de goma masticable</v>
          </cell>
          <cell r="U4">
            <v>8495</v>
          </cell>
          <cell r="V4">
            <v>21235</v>
          </cell>
        </row>
        <row r="5">
          <cell r="A5">
            <v>2</v>
          </cell>
          <cell r="B5" t="str">
            <v>010.000.0083.00</v>
          </cell>
          <cell r="E5" t="str">
            <v>NICOTINA. PARCHE CADA PARCHE DE 15 CM2 CONTIENE: NICOTINA 78 MG. ENVASE CON 7 PARCHES.</v>
          </cell>
          <cell r="U5">
            <v>8834</v>
          </cell>
          <cell r="V5">
            <v>22084</v>
          </cell>
        </row>
        <row r="6">
          <cell r="A6">
            <v>3</v>
          </cell>
          <cell r="B6" t="str">
            <v>010.000.0084.00</v>
          </cell>
          <cell r="E6" t="str">
            <v>NICOTINA. PARCHE CADA PARCHE DE 22 CM2 CONTIENE: NICOTINA 114 MG. ENVASE CON 7 PARCHES.</v>
          </cell>
          <cell r="U6">
            <v>696</v>
          </cell>
          <cell r="V6">
            <v>1740</v>
          </cell>
        </row>
        <row r="7">
          <cell r="A7">
            <v>4</v>
          </cell>
          <cell r="B7" t="str">
            <v>010.000.0101.00</v>
          </cell>
          <cell r="E7" t="str">
            <v>Ácido acetilsalicilico. Tableta. Cada tableta contiene: Acido acetilsalicílico 500 mg. Envase con 20 tabletas.</v>
          </cell>
          <cell r="U7">
            <v>1750938</v>
          </cell>
          <cell r="V7">
            <v>4377342</v>
          </cell>
        </row>
        <row r="8">
          <cell r="A8">
            <v>5</v>
          </cell>
          <cell r="B8" t="str">
            <v>010.000.0103.00</v>
          </cell>
          <cell r="E8" t="str">
            <v>Ácido acetilsalicilico. Tableta soluble o efervescente cada tableta soluble o efervescente contiene: acido acetilsalicílico 300 mg. envase con 20 tabletas solubles o efervescentes.</v>
          </cell>
          <cell r="U8">
            <v>10497592</v>
          </cell>
          <cell r="V8">
            <v>26243978</v>
          </cell>
        </row>
        <row r="9">
          <cell r="A9">
            <v>6</v>
          </cell>
          <cell r="B9" t="str">
            <v>010.000.0104.00</v>
          </cell>
          <cell r="E9" t="str">
            <v>Paracetamol. Tableta cada tableta contiene: paracetamol 500 mg. envase con 10 tabletas.</v>
          </cell>
          <cell r="U9">
            <v>64905782</v>
          </cell>
          <cell r="V9">
            <v>162264451</v>
          </cell>
        </row>
        <row r="10">
          <cell r="A10">
            <v>7</v>
          </cell>
          <cell r="B10" t="str">
            <v>010.000.0105.00</v>
          </cell>
          <cell r="E10" t="str">
            <v>Paracetamol. Supositorio cada supositorio contiene: paracetamol 300 mg. envase con 3 supositorios.</v>
          </cell>
          <cell r="U10">
            <v>372912</v>
          </cell>
          <cell r="V10">
            <v>932278</v>
          </cell>
        </row>
        <row r="11">
          <cell r="A11">
            <v>8</v>
          </cell>
          <cell r="B11" t="str">
            <v>010.000.0106.00</v>
          </cell>
          <cell r="E11" t="str">
            <v>Paracetamol. Solucion oral cada ml contiene: paracetamol 100 mg. envase con 15 ml gotero calibrado a 0.5 y 1 ml integrado o adjunto al envase que sirve de tapa.</v>
          </cell>
          <cell r="U11">
            <v>6342465</v>
          </cell>
          <cell r="V11">
            <v>15856162</v>
          </cell>
        </row>
        <row r="12">
          <cell r="A12">
            <v>9</v>
          </cell>
          <cell r="B12" t="str">
            <v>010.000.0109.00</v>
          </cell>
          <cell r="E12" t="str">
            <v>Metamizol sodico. Solucion inyectable cada ampolleta contiene: metamizol sódico 1 g. envase con 3 ampolletas con 2 ml.</v>
          </cell>
          <cell r="U12">
            <v>3439722</v>
          </cell>
          <cell r="V12">
            <v>8599305</v>
          </cell>
        </row>
        <row r="13">
          <cell r="A13">
            <v>10</v>
          </cell>
          <cell r="B13" t="str">
            <v>010.000.0204.00</v>
          </cell>
          <cell r="E13" t="str">
            <v>Atropina. Solucion inyectable cada ampolleta contiene: sulfato de atropina 1 mg. envase con 50 ampolletas con 1 ml.</v>
          </cell>
          <cell r="U13">
            <v>43135</v>
          </cell>
          <cell r="V13">
            <v>107836</v>
          </cell>
        </row>
        <row r="14">
          <cell r="A14">
            <v>11</v>
          </cell>
          <cell r="B14" t="str">
            <v>010.000.0233.00</v>
          </cell>
          <cell r="E14" t="str">
            <v>Sevoflurano. Liquido o solucion cada envase contiene: sevoflurano 250 ml. envase con 250 ml de líquido o solución.</v>
          </cell>
          <cell r="U14">
            <v>129212</v>
          </cell>
          <cell r="V14">
            <v>323027</v>
          </cell>
        </row>
        <row r="15">
          <cell r="A15">
            <v>12</v>
          </cell>
          <cell r="B15" t="str">
            <v>010.000.0244.00</v>
          </cell>
          <cell r="E15" t="str">
            <v>PROPOFOL. EMULSION INYECTABLE Cada ampolleta o frasco ámpula contiene: Propofol 200 mg. En solución con aceite de soya, fosfátido de huevo o lecitina de huevo y glicerol. Envase con 5 ampolletas o frascos ámpula de 20 mL.</v>
          </cell>
          <cell r="U15">
            <v>128772</v>
          </cell>
          <cell r="V15">
            <v>321927</v>
          </cell>
        </row>
        <row r="16">
          <cell r="A16">
            <v>13</v>
          </cell>
          <cell r="B16" t="str">
            <v>010.000.0245.00</v>
          </cell>
          <cell r="E16" t="str">
            <v>PROPOFOL. EMULSION INYECTABLE Cada frasco ámpula o jeringa contiene: Propofol 500 mg. En solución con aceite de soya, fosfátido de huevo o lecitina de huevo y glicerol. Envase con un frasco ámpula o jeringa de 50 mL.</v>
          </cell>
          <cell r="U16">
            <v>105559</v>
          </cell>
          <cell r="V16">
            <v>263897</v>
          </cell>
        </row>
        <row r="17">
          <cell r="A17">
            <v>14</v>
          </cell>
          <cell r="B17" t="str">
            <v>010.000.0246.00</v>
          </cell>
          <cell r="E17" t="str">
            <v>PROPOFOL. EMULSIÓN INYECTABLE Cada ampolleta o frasco ámpula contiene: Propofol 200 mg. En emulsión con o sin edetato disódico (dihidratado). Envase con 5 ampolletas o frascos ámpula de 20 mL.</v>
          </cell>
          <cell r="U17">
            <v>1145517</v>
          </cell>
          <cell r="V17">
            <v>2863790</v>
          </cell>
        </row>
        <row r="18">
          <cell r="A18">
            <v>15</v>
          </cell>
          <cell r="B18" t="str">
            <v>010.000.0247.01</v>
          </cell>
          <cell r="E18" t="str">
            <v>Dexmedetomidina solución inyectable. Cada frasco ámpula contiene: clorhidrato de dexmedetomidina 200 µg envase con 5 frasco ámpula</v>
          </cell>
          <cell r="U18">
            <v>105003</v>
          </cell>
          <cell r="V18">
            <v>262506</v>
          </cell>
        </row>
        <row r="19">
          <cell r="A19">
            <v>16</v>
          </cell>
          <cell r="B19" t="str">
            <v>010.000.0247.02</v>
          </cell>
          <cell r="E19" t="str">
            <v>Dexmedetomidina solución inyectable. Cada frasco ámpula contiene: clorhidrato de dexmedetomidina 200 µg envase con 25 frascos ámpula</v>
          </cell>
          <cell r="U19">
            <v>130243</v>
          </cell>
          <cell r="V19">
            <v>325607</v>
          </cell>
        </row>
        <row r="20">
          <cell r="A20">
            <v>17</v>
          </cell>
          <cell r="B20" t="str">
            <v>010.000.0254.00</v>
          </cell>
          <cell r="E20" t="str">
            <v>Vecuronio. Solución Inyectable Cada frasco ámpula con liofilizado contiene: Bromuro de vecuronio 4 mg Envase con 50 frascos ámpula y 50 ampolletas con 1 ml de diluyente (4 mg/ml)</v>
          </cell>
          <cell r="U20">
            <v>37387</v>
          </cell>
          <cell r="V20">
            <v>93465</v>
          </cell>
        </row>
        <row r="21">
          <cell r="A21">
            <v>18</v>
          </cell>
          <cell r="B21" t="str">
            <v>010.000.0260.00</v>
          </cell>
          <cell r="E21" t="str">
            <v>Lidocaína. Gel. Cada ml contiene: Clorhidrato de lidocaína 20 mg Envase con 10 ml.</v>
          </cell>
          <cell r="U21">
            <v>402</v>
          </cell>
          <cell r="V21">
            <v>1003</v>
          </cell>
        </row>
        <row r="22">
          <cell r="A22">
            <v>19</v>
          </cell>
          <cell r="B22" t="str">
            <v>010.000.0260.01</v>
          </cell>
          <cell r="E22" t="str">
            <v>LIDOCAÍNA. GEL. CADA ML CONTIENE: CLORHIDRATO DE LIDOCAÍNA 20 MG ENVASE CON 20 ML.</v>
          </cell>
          <cell r="U22">
            <v>85884</v>
          </cell>
          <cell r="V22">
            <v>214710</v>
          </cell>
        </row>
        <row r="23">
          <cell r="A23">
            <v>20</v>
          </cell>
          <cell r="B23" t="str">
            <v>010.000.0261.00</v>
          </cell>
          <cell r="E23" t="str">
            <v>Lidocaína. Solución Inyectable al 1%. Cada frasco ámpula contiene: Clorhidrato de lidocaína 500 mg Envase con 5 frascos ámpula de 50 ml.</v>
          </cell>
          <cell r="U23">
            <v>130847</v>
          </cell>
          <cell r="V23">
            <v>327116</v>
          </cell>
        </row>
        <row r="24">
          <cell r="A24">
            <v>21</v>
          </cell>
          <cell r="B24" t="str">
            <v>010.000.0262.00</v>
          </cell>
          <cell r="E24" t="str">
            <v>Lidocaína. Solución Inyectable al 2%. Cada frasco ámpula contiene: Clorhidrato de lidocaína 1 g Envase con 5 frascos ámpula con 50 ml</v>
          </cell>
          <cell r="U24">
            <v>366627</v>
          </cell>
          <cell r="V24">
            <v>916564</v>
          </cell>
        </row>
        <row r="25">
          <cell r="A25">
            <v>22</v>
          </cell>
          <cell r="B25" t="str">
            <v>010.000.0264.00</v>
          </cell>
          <cell r="E25" t="str">
            <v>Lidocaína. Solución al 10%. Cada 100 ml contiene: Lidocaína 10.0 g Envase con 115 ml con atomizador manual.</v>
          </cell>
          <cell r="U25">
            <v>281874</v>
          </cell>
          <cell r="V25">
            <v>704685</v>
          </cell>
        </row>
        <row r="26">
          <cell r="A26">
            <v>23</v>
          </cell>
          <cell r="B26" t="str">
            <v>010.000.0267.00</v>
          </cell>
          <cell r="E26" t="str">
            <v>Lidocaína epinefrina. Solución Inyectable al 2% Cada cartucho dental contiene: Clorhidrato de lidocaína 36 mg Epinefrina (1:100000) 0.018 mg Envase con 50 cartuchos dentales con 1.8 ml.</v>
          </cell>
          <cell r="U26">
            <v>226584</v>
          </cell>
          <cell r="V26">
            <v>566458</v>
          </cell>
        </row>
        <row r="27">
          <cell r="A27">
            <v>24</v>
          </cell>
          <cell r="B27" t="str">
            <v>010.000.0269.00</v>
          </cell>
          <cell r="E27" t="str">
            <v>Ropivacaina. Solución Inyectable Cada ampolleta contiene: Clorhidrato de ropivacaína monohidratada equivalente a 40 mg de clorhidrato de ropivacaina. Envase con 5 ampolletas con 20 ml.</v>
          </cell>
          <cell r="U27">
            <v>26918</v>
          </cell>
          <cell r="V27">
            <v>67294</v>
          </cell>
        </row>
        <row r="28">
          <cell r="A28">
            <v>25</v>
          </cell>
          <cell r="B28" t="str">
            <v>010.000.0270.00</v>
          </cell>
          <cell r="E28" t="str">
            <v>Ropivacaina. Solución Inyectable Cada ampolleta contiene: Clorhidrato de ropivacaína monohidratada equivalente a 150 mg de clorhidrato de ropivacaina. Envase con 5 ampolletas con 20 ml.</v>
          </cell>
          <cell r="U28">
            <v>72701</v>
          </cell>
          <cell r="V28">
            <v>181750</v>
          </cell>
        </row>
        <row r="29">
          <cell r="A29">
            <v>26</v>
          </cell>
          <cell r="B29" t="str">
            <v>010.000.0291.00</v>
          </cell>
          <cell r="E29" t="str">
            <v>Neostigmina. Solución Inyectable Cada ampolleta contiene: Metilsulfato de neostigmina 0.5 mg Envase con 6 ampolletas con 1 ml.</v>
          </cell>
          <cell r="U29">
            <v>40364</v>
          </cell>
          <cell r="V29">
            <v>100908</v>
          </cell>
        </row>
        <row r="30">
          <cell r="A30">
            <v>27</v>
          </cell>
          <cell r="B30" t="str">
            <v>010.000.0402.00</v>
          </cell>
          <cell r="E30" t="str">
            <v>Clorfenamina. Tableta. Cada tableta contiene: Maleato de clorfenamina 4.0 mg Envase con 20 Tabletas.</v>
          </cell>
          <cell r="U30">
            <v>2621276</v>
          </cell>
          <cell r="V30">
            <v>6553188</v>
          </cell>
        </row>
        <row r="31">
          <cell r="A31">
            <v>28</v>
          </cell>
          <cell r="B31" t="str">
            <v>010.000.0405.00</v>
          </cell>
          <cell r="E31" t="str">
            <v>Difenhidramina. Jarabe. Cada 100 mililitros contienen: Clorhidrato de difenhidramina 250 mg. Envase con 60 ml.</v>
          </cell>
          <cell r="U31">
            <v>1534899</v>
          </cell>
          <cell r="V31">
            <v>3837244</v>
          </cell>
        </row>
        <row r="32">
          <cell r="A32">
            <v>29</v>
          </cell>
          <cell r="B32" t="str">
            <v>010.000.0406.00</v>
          </cell>
          <cell r="E32" t="str">
            <v>Difenhidramina. Solución inyectable. Cada frasco ámpula contiene: Clorhidrato de difenhidramina 100 mg. Envase con frasco ámpula de 10 ml.</v>
          </cell>
          <cell r="U32">
            <v>733857</v>
          </cell>
          <cell r="V32">
            <v>1834639</v>
          </cell>
        </row>
        <row r="33">
          <cell r="A33">
            <v>30</v>
          </cell>
          <cell r="B33" t="str">
            <v>010.000.0408.00</v>
          </cell>
          <cell r="E33" t="str">
            <v>Clorfenamina. Jarabe. Cada mililitro contiene: Maleato de clorfenamina 0.5 mg Envase con 60 ml.</v>
          </cell>
          <cell r="U33">
            <v>1857919</v>
          </cell>
          <cell r="V33">
            <v>4644797</v>
          </cell>
        </row>
        <row r="34">
          <cell r="A34">
            <v>31</v>
          </cell>
          <cell r="B34" t="str">
            <v>010.000.0426.00</v>
          </cell>
          <cell r="E34" t="str">
            <v>Aminofilina. Solución Inyectable. Cada ampolleta contiene: Aminofilina 250 mg. Envase con 5 ampolletas de 10 ml.</v>
          </cell>
          <cell r="U34">
            <v>53318</v>
          </cell>
          <cell r="V34">
            <v>133293</v>
          </cell>
        </row>
        <row r="35">
          <cell r="A35">
            <v>32</v>
          </cell>
          <cell r="B35" t="str">
            <v>010.000.0431.00</v>
          </cell>
          <cell r="E35" t="str">
            <v>SALBUTAMOL. JARABE CADA 5 ML CONTIENEN: SULFATO DE SALBUTAMOL EQUIVALENTE A 2 MG DE SALBUTAMOL ENVASE CON 60 ML.</v>
          </cell>
          <cell r="U35">
            <v>689712</v>
          </cell>
          <cell r="V35">
            <v>1724276</v>
          </cell>
        </row>
        <row r="36">
          <cell r="A36">
            <v>33</v>
          </cell>
          <cell r="B36" t="str">
            <v>010.000.0432.00</v>
          </cell>
          <cell r="E36" t="str">
            <v>TERBUTALINA SOLUCION INYECTABLE CADA ML CONTIENE: SULFATO DE TERBUTALINA 0.25MG ENVASE CON 3 AMPOLLETAS.</v>
          </cell>
          <cell r="U36">
            <v>2060</v>
          </cell>
          <cell r="V36">
            <v>5148</v>
          </cell>
        </row>
        <row r="37">
          <cell r="A37">
            <v>34</v>
          </cell>
          <cell r="B37" t="str">
            <v>010.000.0433.00</v>
          </cell>
          <cell r="E37" t="str">
            <v>TERBUTALINA TABLETA CADA TABLETA CONTIENE: SULFATO DE TERBUTALINA 5 MG ENVASECON 20 TABLETAS.</v>
          </cell>
          <cell r="U37">
            <v>3852</v>
          </cell>
          <cell r="V37">
            <v>9628</v>
          </cell>
        </row>
        <row r="38">
          <cell r="A38">
            <v>35</v>
          </cell>
          <cell r="B38" t="str">
            <v>010.000.0437.00</v>
          </cell>
          <cell r="E38" t="str">
            <v>Teofilina. Comprimido o Tableta o Cápsula de Liberación Prolongada Cada Comprimido Tableta o Cápsula contiene: Teofilina anhidra 100 mg Envase con 20 Comprimidos o Tabletas o Cápsulas de Liberación Prolongada.</v>
          </cell>
          <cell r="U38">
            <v>930915</v>
          </cell>
          <cell r="V38">
            <v>2327285</v>
          </cell>
        </row>
        <row r="39">
          <cell r="A39">
            <v>36</v>
          </cell>
          <cell r="B39" t="str">
            <v>010.000.0439.00</v>
          </cell>
          <cell r="E39" t="str">
            <v>Salbutamol. Solución para nebulizador. Cada 100 ml contienen: Sulfato de salbutamol 0.5 g. Envase con 10 ml.</v>
          </cell>
          <cell r="U39">
            <v>487774</v>
          </cell>
          <cell r="V39">
            <v>1219432</v>
          </cell>
        </row>
        <row r="40">
          <cell r="A40">
            <v>37</v>
          </cell>
          <cell r="B40" t="str">
            <v>010.000.0440.00</v>
          </cell>
          <cell r="E40" t="str">
            <v>Fluticasona. Suspensión en aerosol. Cada dosis contiene: Propionato de Fluticasona 50µg Envase con un frasco presurizado para 60 dosis</v>
          </cell>
          <cell r="U40">
            <v>452700</v>
          </cell>
          <cell r="V40">
            <v>1131750</v>
          </cell>
        </row>
        <row r="41">
          <cell r="A41">
            <v>38</v>
          </cell>
          <cell r="B41" t="str">
            <v>010.000.0441.00</v>
          </cell>
          <cell r="E41" t="str">
            <v>Salmeterol. Suspensión en aerosol Cada gramo contiene: Xinafoato de salmeterol equivalente a 0.330 mg de salmeterol. Envase con inhalador con 12 g para 120 dosis de 25 µg.</v>
          </cell>
          <cell r="U41">
            <v>90148</v>
          </cell>
          <cell r="V41">
            <v>225368</v>
          </cell>
        </row>
        <row r="42">
          <cell r="A42">
            <v>39</v>
          </cell>
          <cell r="B42" t="str">
            <v>010.000.0442.00</v>
          </cell>
          <cell r="E42" t="str">
            <v>Salmeterol fluticasona. Polvo. Cada dosis contiene Xinafoato de salmeterol equivalente a 50 µg de salmeterol. Propionato de Fluticasona 100 µg. Envase con dispositivo inhalador para 60 dosis.</v>
          </cell>
          <cell r="U42">
            <v>1594999</v>
          </cell>
          <cell r="V42">
            <v>3987494</v>
          </cell>
        </row>
        <row r="43">
          <cell r="A43">
            <v>40</v>
          </cell>
          <cell r="B43" t="str">
            <v>010.000.0447.00</v>
          </cell>
          <cell r="E43" t="str">
            <v>Salmeterol fluticasona. Polvo. Cada dosis contiene: Xinafoato de salmeterol equivalente a 50 µgde salmeterol Propionato de fluticasona 500 µg Envase con dispositivo inhalador para 60 dosis.</v>
          </cell>
          <cell r="U43">
            <v>144405</v>
          </cell>
          <cell r="V43">
            <v>361011</v>
          </cell>
        </row>
        <row r="44">
          <cell r="A44">
            <v>41</v>
          </cell>
          <cell r="B44" t="str">
            <v>010.000.0450.00</v>
          </cell>
          <cell r="E44" t="str">
            <v>Fluticasona. Suspensión en aerosol. Cada dosis contiene: Propionato de fluticasona 50µg. Envase con un frasco presurizado para 120 dosis.</v>
          </cell>
          <cell r="U44">
            <v>254784</v>
          </cell>
          <cell r="V44">
            <v>636958</v>
          </cell>
        </row>
        <row r="45">
          <cell r="A45">
            <v>42</v>
          </cell>
          <cell r="B45" t="str">
            <v>010.000.0463.00</v>
          </cell>
          <cell r="E45" t="str">
            <v>Ketotifeno. Solución Oral Cada 100 ml contienen: Fumarato ácido de ketotifeno equivalente a 20 mg de ketotifeno. Envase con 120 ml y dosificador.</v>
          </cell>
          <cell r="U45">
            <v>461597</v>
          </cell>
          <cell r="V45">
            <v>1153990</v>
          </cell>
        </row>
        <row r="46">
          <cell r="A46">
            <v>43</v>
          </cell>
          <cell r="B46" t="str">
            <v>010.000.0464.00</v>
          </cell>
          <cell r="E46" t="str">
            <v>CROMOGLICATO DE SODIO. SUSPENSIÓN AEROSOL CADA INHALADOR CONTIENEN: CROMOGLICATO DISÓDICO 560 MG ENVASE CON ESPACIADOR PARA 112 DOSIS DE 5 MG.</v>
          </cell>
          <cell r="U46">
            <v>65597</v>
          </cell>
          <cell r="V46">
            <v>163991</v>
          </cell>
        </row>
        <row r="47">
          <cell r="A47">
            <v>44</v>
          </cell>
          <cell r="B47" t="str">
            <v>010.000.0472.00</v>
          </cell>
          <cell r="E47" t="str">
            <v>Prednisona. Tableta Cada Tableta contiene: Prednisona 5 mg Envase con 20 Tabletas.</v>
          </cell>
          <cell r="U47">
            <v>2683690</v>
          </cell>
          <cell r="V47">
            <v>6709222</v>
          </cell>
        </row>
        <row r="48">
          <cell r="A48">
            <v>45</v>
          </cell>
          <cell r="B48" t="str">
            <v>010.000.0473.00</v>
          </cell>
          <cell r="E48" t="str">
            <v>Prednisona. Tableta Cada Tableta contiene: Prednisona 50 mg Envase con 20 Tabletas.</v>
          </cell>
          <cell r="U48">
            <v>366173</v>
          </cell>
          <cell r="V48">
            <v>915431</v>
          </cell>
        </row>
        <row r="49">
          <cell r="A49">
            <v>46</v>
          </cell>
          <cell r="B49" t="str">
            <v>010.000.0474.00</v>
          </cell>
          <cell r="E49" t="str">
            <v>Hidrocortisona. Solución Inyectable Cada frasco ámpula contiene: Succinato sódico de hidrocortisona equivalente a 100 mg de hidrocortisona. Envase con 50 frascos ámpula y 50 ampolletas con 2 ml de diluyente.</v>
          </cell>
          <cell r="U49">
            <v>95038</v>
          </cell>
          <cell r="V49">
            <v>237594</v>
          </cell>
        </row>
        <row r="50">
          <cell r="A50">
            <v>47</v>
          </cell>
          <cell r="B50" t="str">
            <v>010.000.0476.00</v>
          </cell>
          <cell r="E50" t="str">
            <v>Metilprednisolona. Solución Inyectable Cada frasco ámpula con liofilizado contiene Succinato sódico de metilprednisolona equivalente a 500 mg de metilprednisolona. Envase con 50 frascos ámpula y 50 ampolletas con 8 ml de diluyente.</v>
          </cell>
          <cell r="U50">
            <v>45680</v>
          </cell>
          <cell r="V50">
            <v>114199</v>
          </cell>
        </row>
        <row r="51">
          <cell r="A51">
            <v>48</v>
          </cell>
          <cell r="B51" t="str">
            <v>010.000.0514.00</v>
          </cell>
          <cell r="E51" t="str">
            <v>PARACETAMOL SUPOSITORIO CADA SUPOSITORIO CONTIENE: PARACETAMOL 100 MG ENVASE CON 3 SUPOSITORIOS.</v>
          </cell>
          <cell r="U51">
            <v>30612</v>
          </cell>
          <cell r="V51">
            <v>76526</v>
          </cell>
        </row>
        <row r="52">
          <cell r="A52">
            <v>49</v>
          </cell>
          <cell r="B52" t="str">
            <v>010.000.0514.01</v>
          </cell>
          <cell r="E52" t="str">
            <v>Paracetamol supositorio cada supositorio contiene: paracetamol 100 mg envase con 6 supositorios</v>
          </cell>
          <cell r="U52">
            <v>160457</v>
          </cell>
          <cell r="V52">
            <v>401141</v>
          </cell>
        </row>
        <row r="53">
          <cell r="A53">
            <v>50</v>
          </cell>
          <cell r="B53" t="str">
            <v>010.000.0514.02</v>
          </cell>
          <cell r="E53" t="str">
            <v>PARACETAMOL SUPOSITORIO CADA SUPOSITORIO CONTIENE: PARACETAMOL 100 MG ENVASE CON 10 SUPOSITORIOS</v>
          </cell>
          <cell r="U53">
            <v>3</v>
          </cell>
          <cell r="V53">
            <v>5</v>
          </cell>
        </row>
        <row r="54">
          <cell r="A54">
            <v>51</v>
          </cell>
          <cell r="B54" t="str">
            <v>010.000.0522.00</v>
          </cell>
          <cell r="E54" t="str">
            <v>LIDOCAÍNA. SOLUCIÓN INYECTABLE CADA AMPOLLETA CONTIENE: CLORHIDRATO DE LIDOCAÍNA 100 MG ENVASE CON 1 AMPOLLETA DE 5 ML.</v>
          </cell>
          <cell r="U54">
            <v>80</v>
          </cell>
          <cell r="V54">
            <v>200</v>
          </cell>
        </row>
        <row r="55">
          <cell r="A55">
            <v>52</v>
          </cell>
          <cell r="B55" t="str">
            <v>010.000.0524.00</v>
          </cell>
          <cell r="E55" t="str">
            <v>Cloruro de potasio. Solución Inyectable. Cada ampolleta contiene: Cloruro de potasio 1.49 g. (20 mEq de potasio, 20 mEq de cloro) Envase con 50 ampolletas con 10 ml</v>
          </cell>
          <cell r="U55">
            <v>148997</v>
          </cell>
          <cell r="V55">
            <v>372490</v>
          </cell>
        </row>
        <row r="56">
          <cell r="A56">
            <v>53</v>
          </cell>
          <cell r="B56" t="str">
            <v>010.000.0525.00</v>
          </cell>
          <cell r="E56" t="str">
            <v>Fenitoína. Tableta o Cápsula Cada Tableta o Cápsula contiene: Fenitoína sódica 100 mg Envase con 50 Tabletas o Cápsulas.</v>
          </cell>
          <cell r="U56">
            <v>1194519</v>
          </cell>
          <cell r="V56">
            <v>2986297</v>
          </cell>
        </row>
        <row r="57">
          <cell r="A57">
            <v>54</v>
          </cell>
          <cell r="B57" t="str">
            <v>010.000.0527.00</v>
          </cell>
          <cell r="E57" t="str">
            <v>QUINIDINA TABLETA CADA TABLETA CONTIENE: SULFATO DE QUINIDINA 200 MG ENVASE CON20 TABLETAS.</v>
          </cell>
          <cell r="U57">
            <v>10979</v>
          </cell>
          <cell r="V57">
            <v>27445</v>
          </cell>
        </row>
        <row r="58">
          <cell r="A58">
            <v>55</v>
          </cell>
          <cell r="B58" t="str">
            <v>010.000.0530.00</v>
          </cell>
          <cell r="E58" t="str">
            <v>Propranolol. Tableta Cada Tableta contiene: Clorhidrato de propranolol 40 mg Envase con 30 Tabletas</v>
          </cell>
          <cell r="U58">
            <v>1890122</v>
          </cell>
          <cell r="V58">
            <v>4725302</v>
          </cell>
        </row>
        <row r="59">
          <cell r="A59">
            <v>56</v>
          </cell>
          <cell r="B59" t="str">
            <v>010.000.0537.00</v>
          </cell>
          <cell r="E59" t="str">
            <v>Propafenona. Tableta Cada Tableta contiene: Clorhidrato de Propafenona 150 mg Envase con 20 Tabletas.</v>
          </cell>
          <cell r="U59">
            <v>1158453</v>
          </cell>
          <cell r="V59">
            <v>2896129</v>
          </cell>
        </row>
        <row r="60">
          <cell r="A60">
            <v>57</v>
          </cell>
          <cell r="B60" t="str">
            <v>010.000.0561.00</v>
          </cell>
          <cell r="E60" t="str">
            <v>Clortalidona. Tableta. Cada tableta contiene: Clortalidona 50 mg Envase con 20 Tabletas.</v>
          </cell>
          <cell r="U60">
            <v>3392911</v>
          </cell>
          <cell r="V60">
            <v>8482276</v>
          </cell>
        </row>
        <row r="61">
          <cell r="A61">
            <v>58</v>
          </cell>
          <cell r="B61" t="str">
            <v>010.000.0566.00</v>
          </cell>
          <cell r="E61" t="str">
            <v>Metildopa. Tableta Cada Tableta contiene: Metildopa 250 mg Envase con 30 Tabletas.</v>
          </cell>
          <cell r="U61">
            <v>493561</v>
          </cell>
          <cell r="V61">
            <v>1233901</v>
          </cell>
        </row>
        <row r="62">
          <cell r="A62">
            <v>59</v>
          </cell>
          <cell r="B62" t="str">
            <v>010.000.0569.00</v>
          </cell>
          <cell r="E62" t="str">
            <v>Nitroprusiato de sodio. Solución Inyectable Cada frasco ámpula con polvo o Solución contiene: Nitroprusiato de sodio 50 mg Envase con un frasco ámpula con o sin diluyente.</v>
          </cell>
          <cell r="U62">
            <v>40432</v>
          </cell>
          <cell r="V62">
            <v>101079</v>
          </cell>
        </row>
        <row r="63">
          <cell r="A63">
            <v>60</v>
          </cell>
          <cell r="B63" t="str">
            <v>010.000.0572.00</v>
          </cell>
          <cell r="E63" t="str">
            <v>Metoprolol. Tableta Cada Tableta contiene: Tartrato de metoprolol 100 mg Envase con 20 Tabletas.</v>
          </cell>
          <cell r="U63">
            <v>14918648</v>
          </cell>
          <cell r="V63">
            <v>37296618</v>
          </cell>
        </row>
        <row r="64">
          <cell r="A64">
            <v>61</v>
          </cell>
          <cell r="B64" t="str">
            <v>010.000.0573.00</v>
          </cell>
          <cell r="E64" t="str">
            <v>Prazosina. Cápsula o Comprimido Cada Cápsula o Comprimido contiene: Clorhidrato de prazosina equivalente a 1 mg de prazosina. Envase con 30 Cápsulas o Comprimidos.</v>
          </cell>
          <cell r="U64">
            <v>2261738</v>
          </cell>
          <cell r="V64">
            <v>5654344</v>
          </cell>
        </row>
        <row r="65">
          <cell r="A65">
            <v>62</v>
          </cell>
          <cell r="B65" t="str">
            <v>010.000.0574.00</v>
          </cell>
          <cell r="E65" t="str">
            <v>Captopril. Tableta Cada Tableta contiene: Captopril 25 mg Envase con 30 Tabletas.</v>
          </cell>
          <cell r="U65">
            <v>233216</v>
          </cell>
          <cell r="V65">
            <v>583038</v>
          </cell>
        </row>
        <row r="66">
          <cell r="A66">
            <v>63</v>
          </cell>
          <cell r="B66" t="str">
            <v>010.000.0591.00</v>
          </cell>
          <cell r="E66" t="str">
            <v>Trinitrato de glicerilo. Cápsula o Tableta Masticable Cada Cápsula o Tableta Masticable contiene: Trinitrato de glicerol 0.8 mg Envase con 24 Cápsulas o Tabletas Masticables.</v>
          </cell>
          <cell r="U66">
            <v>20274</v>
          </cell>
          <cell r="V66">
            <v>50684</v>
          </cell>
        </row>
        <row r="67">
          <cell r="A67">
            <v>64</v>
          </cell>
          <cell r="B67" t="str">
            <v>010.000.0592.00</v>
          </cell>
          <cell r="E67" t="str">
            <v>Isosorbida. Tableta sublingual Cada Tableta contiene: Dinitrato de isosorbida 5 mg Envase con 20 Tabletas sublinguales.</v>
          </cell>
          <cell r="U67">
            <v>558756</v>
          </cell>
          <cell r="V67">
            <v>1396887</v>
          </cell>
        </row>
        <row r="68">
          <cell r="A68">
            <v>65</v>
          </cell>
          <cell r="B68" t="str">
            <v>010.000.0593.00</v>
          </cell>
          <cell r="E68" t="str">
            <v>ISOSORBIDA TABLETA CADA TABLETA CONTIENE: DINITRATO DE ISOSORBIDA 10 MG ENVASECON 20 TABLETAS.</v>
          </cell>
          <cell r="U68">
            <v>2702058</v>
          </cell>
          <cell r="V68">
            <v>6755143</v>
          </cell>
        </row>
        <row r="69">
          <cell r="A69">
            <v>66</v>
          </cell>
          <cell r="B69" t="str">
            <v>010.000.0596.00</v>
          </cell>
          <cell r="E69" t="str">
            <v>Verapamilo. Gragea o Tableta ReCubierta Cada Gragea o Tableta ReCubierta contiene: Clorhidrato de verapamilo 80 mg Envase con 20 Grageas o Tabletas ReCubiertas.</v>
          </cell>
          <cell r="U69">
            <v>1196233</v>
          </cell>
          <cell r="V69">
            <v>2990579</v>
          </cell>
        </row>
        <row r="70">
          <cell r="A70">
            <v>67</v>
          </cell>
          <cell r="B70" t="str">
            <v>010.000.0597.00</v>
          </cell>
          <cell r="E70" t="str">
            <v>Nifedipino. Cápsula de Gelatina blanda Cada Cápsula contiene: Nifedipino 10 mg Envase con 20 Cápsulas.</v>
          </cell>
          <cell r="U70">
            <v>446757</v>
          </cell>
          <cell r="V70">
            <v>1116891</v>
          </cell>
        </row>
        <row r="71">
          <cell r="A71">
            <v>68</v>
          </cell>
          <cell r="B71" t="str">
            <v>010.000.0598.00</v>
          </cell>
          <cell r="E71" t="str">
            <v>Verapamilo. Solución Inyectable Cada ampolleta contiene: Clorhidrato de verapamilo 5 mg Envase con 2 ml (2.5 mg/ml).</v>
          </cell>
          <cell r="U71">
            <v>63052</v>
          </cell>
          <cell r="V71">
            <v>157628</v>
          </cell>
        </row>
        <row r="72">
          <cell r="A72">
            <v>69</v>
          </cell>
          <cell r="B72" t="str">
            <v>010.000.0599.00</v>
          </cell>
          <cell r="E72" t="str">
            <v>Nifedipino. Comprimido de Liberación Prolongada Cada Comprimido contiene: Nifedipino 30 mg Envase con 30 Comprimidos.</v>
          </cell>
          <cell r="U72">
            <v>5981334</v>
          </cell>
          <cell r="V72">
            <v>14953331</v>
          </cell>
        </row>
        <row r="73">
          <cell r="A73">
            <v>70</v>
          </cell>
          <cell r="B73" t="str">
            <v>010.000.0611.00</v>
          </cell>
          <cell r="E73" t="str">
            <v>Epinefrina. Solución Inyectable Cada ampolleta contiene: Epinefrina 1 mg (1:1 000) Envase con 50 ampolletas con 1 ml.</v>
          </cell>
          <cell r="U73">
            <v>61314</v>
          </cell>
          <cell r="V73">
            <v>153284</v>
          </cell>
        </row>
        <row r="74">
          <cell r="A74">
            <v>71</v>
          </cell>
          <cell r="B74" t="str">
            <v>010.000.0612.00</v>
          </cell>
          <cell r="E74" t="str">
            <v>Norepinefrina. Solución Inyectable Cada ampolleta contiene: Bitartrato de norepinefrina equivalente a 4 mg de norepinefrina. Envase con 50 ampolletas de 4 ml.</v>
          </cell>
          <cell r="U74">
            <v>81574</v>
          </cell>
          <cell r="V74">
            <v>203934</v>
          </cell>
        </row>
        <row r="75">
          <cell r="A75">
            <v>72</v>
          </cell>
          <cell r="B75" t="str">
            <v>010.000.0612.01</v>
          </cell>
          <cell r="E75" t="str">
            <v>Norepinefrina. Solución Inyectable. Cada ampolleta contiene: Bitartrato de norepinefrina equivalente a 4 mg de norepinefrina. Envase con 10 ampolletas de 4 ml.</v>
          </cell>
          <cell r="U75">
            <v>6</v>
          </cell>
          <cell r="V75">
            <v>14</v>
          </cell>
        </row>
        <row r="76">
          <cell r="A76">
            <v>73</v>
          </cell>
          <cell r="B76" t="str">
            <v>010.000.0614.00</v>
          </cell>
          <cell r="E76" t="str">
            <v>Dopamina. Solución Inyectable Cada ampolleta contiene: Clorhidrato de dopamina 200 mg Envase con 5 ampolletas con 5 ml.</v>
          </cell>
          <cell r="U76">
            <v>71957</v>
          </cell>
          <cell r="V76">
            <v>179889</v>
          </cell>
        </row>
        <row r="77">
          <cell r="A77">
            <v>74</v>
          </cell>
          <cell r="B77" t="str">
            <v>010.000.0615.00</v>
          </cell>
          <cell r="E77" t="str">
            <v>Dobutamina. Solución Inyectable. Cada frasco ámpula o ampolleta contiene: Clorhidrato de dobutamina equivalente a 250 mg de dobutamina. Envase con 5 ampolletas con 5 ml cada una.</v>
          </cell>
          <cell r="U77">
            <v>134697</v>
          </cell>
          <cell r="V77">
            <v>336740</v>
          </cell>
        </row>
        <row r="78">
          <cell r="A78">
            <v>75</v>
          </cell>
          <cell r="B78" t="str">
            <v>010.000.0615.01</v>
          </cell>
          <cell r="E78" t="str">
            <v>DOBUTAMINA. SOLUCIÓN INYECTABLE. CADA FRASCO ÁMPULA O AMPOLLETA CONTIENE: CLORHIDRATO DE DOBUTAMINA EQUIVALENTE A 250 MG DE DOBUTAMINA. ENVASE CON UN FRASCO ÁMPULA CON 20 ML.</v>
          </cell>
          <cell r="U78">
            <v>2076</v>
          </cell>
          <cell r="V78">
            <v>5186</v>
          </cell>
        </row>
        <row r="79">
          <cell r="A79">
            <v>76</v>
          </cell>
          <cell r="B79" t="str">
            <v>010.000.0621.00</v>
          </cell>
          <cell r="E79" t="str">
            <v>Heparina. Solución Inyectable Cada frasco ámpula contiene: Heparina sódica equivalente a 10 000 UI de heparina. Envase con 50 frascos ámpula con 10 ml (1000 UI/ml)</v>
          </cell>
          <cell r="U79">
            <v>73394</v>
          </cell>
          <cell r="V79">
            <v>183482</v>
          </cell>
        </row>
        <row r="80">
          <cell r="A80">
            <v>77</v>
          </cell>
          <cell r="B80" t="str">
            <v>010.000.0622.00</v>
          </cell>
          <cell r="E80" t="str">
            <v>Heparina. Solución Inyectable Cada frasco ámpula contiene: Heparina sódica equivalente a 25 000 UI de heparina. Envase con 50 frascos ámpula con 5 ml (5 000 UI/ml).</v>
          </cell>
          <cell r="U80">
            <v>45522</v>
          </cell>
          <cell r="V80">
            <v>113803</v>
          </cell>
        </row>
        <row r="81">
          <cell r="A81">
            <v>78</v>
          </cell>
          <cell r="B81" t="str">
            <v>010.000.0623.00</v>
          </cell>
          <cell r="E81" t="str">
            <v>Warfarina. Tableta Cada Tableta contiene: Warfarina sódica 5 mg Envase con 25 Tabletas.</v>
          </cell>
          <cell r="U81">
            <v>114688</v>
          </cell>
          <cell r="V81">
            <v>286717</v>
          </cell>
        </row>
        <row r="82">
          <cell r="A82">
            <v>79</v>
          </cell>
          <cell r="B82" t="str">
            <v>010.000.0624.00</v>
          </cell>
          <cell r="E82" t="str">
            <v>ACENOCUMAROL. TABLETA CADA TABLETA CONTIENE: ACENOCUMAROL 4 MG. ENVASE CON 20 TABLETAS.</v>
          </cell>
          <cell r="U82">
            <v>384</v>
          </cell>
          <cell r="V82">
            <v>958</v>
          </cell>
        </row>
        <row r="83">
          <cell r="A83">
            <v>80</v>
          </cell>
          <cell r="B83" t="str">
            <v>010.000.0624.01</v>
          </cell>
          <cell r="E83" t="str">
            <v>Acenocumarol. Tableta Cada Tableta contiene: Acenocumarol 4 mg. Envase con 30 tabletas.</v>
          </cell>
          <cell r="U83">
            <v>198422</v>
          </cell>
          <cell r="V83">
            <v>496054</v>
          </cell>
        </row>
        <row r="84">
          <cell r="A84">
            <v>81</v>
          </cell>
          <cell r="B84" t="str">
            <v>010.000.0626.01</v>
          </cell>
          <cell r="E84" t="str">
            <v>Fitomenadiona. Solución o Emulsión Inyectable Cada ampolleta contiene: Fitomenadiona 10 mg Envase con 5 ampolletas de 1 ml.</v>
          </cell>
          <cell r="U84">
            <v>5522</v>
          </cell>
          <cell r="V84">
            <v>13801</v>
          </cell>
        </row>
        <row r="85">
          <cell r="A85">
            <v>82</v>
          </cell>
          <cell r="B85" t="str">
            <v>010.000.0642.02</v>
          </cell>
          <cell r="E85" t="str">
            <v>Dipiridamol. Solución Inyectable. Cada ampolleta contiene: Dipiridamol 10 mg Envase con 5 ampolletas con 2 ml (5 mg/ml).</v>
          </cell>
          <cell r="U85">
            <v>4150</v>
          </cell>
          <cell r="V85">
            <v>10372</v>
          </cell>
        </row>
        <row r="86">
          <cell r="A86">
            <v>83</v>
          </cell>
          <cell r="B86" t="str">
            <v>010.000.0655.00</v>
          </cell>
          <cell r="E86" t="str">
            <v>BEZAFIBRATO TABLETA CADA TABLETA CONTIENE: BEZAFIBRATO 200 MG ENVASE CON 30TABLETAS.</v>
          </cell>
          <cell r="U86">
            <v>8802643</v>
          </cell>
          <cell r="V86">
            <v>22006605</v>
          </cell>
        </row>
        <row r="87">
          <cell r="A87">
            <v>84</v>
          </cell>
          <cell r="B87" t="str">
            <v>010.000.0657.00</v>
          </cell>
          <cell r="E87" t="str">
            <v>PRAVASTATINA. TABLETA CADA TABLETA CONTIENE: PRAVASTATINA SÓDICA 10 MG ENVASE CON 30 TABLETAS.</v>
          </cell>
          <cell r="U87">
            <v>3976850</v>
          </cell>
          <cell r="V87">
            <v>9942122</v>
          </cell>
        </row>
        <row r="88">
          <cell r="A88">
            <v>85</v>
          </cell>
          <cell r="B88" t="str">
            <v>010.000.0801.00</v>
          </cell>
          <cell r="E88" t="str">
            <v>Baño coloide. Polvo. Cada gramo contiene: Harina de soya 965 mg (contenido proteico 45%) Polividona 20 mg Envase con un sobre individual de 90 g.</v>
          </cell>
          <cell r="U88">
            <v>50409</v>
          </cell>
          <cell r="V88">
            <v>126020</v>
          </cell>
        </row>
        <row r="89">
          <cell r="A89">
            <v>86</v>
          </cell>
          <cell r="B89" t="str">
            <v>010.000.0801.01</v>
          </cell>
          <cell r="E89" t="str">
            <v>Baño coloide envase con dos sobres de 90 gramos. POLVO
  Cada gramo contiene:
  Harina de soya 965 mg.
  (contenido proteico 45%).
  Polividona 20 mg.</v>
          </cell>
          <cell r="U89">
            <v>364375</v>
          </cell>
          <cell r="V89">
            <v>910936</v>
          </cell>
        </row>
        <row r="90">
          <cell r="A90">
            <v>87</v>
          </cell>
          <cell r="B90" t="str">
            <v>010.000.0804.00</v>
          </cell>
          <cell r="E90" t="str">
            <v>Óxido de zinc. Pasta Cada 100 g contienen: Óxido de zinc 25. 0 g Envase con 30 g.</v>
          </cell>
          <cell r="U90">
            <v>2759685</v>
          </cell>
          <cell r="V90">
            <v>6899211</v>
          </cell>
        </row>
        <row r="91">
          <cell r="A91">
            <v>88</v>
          </cell>
          <cell r="B91" t="str">
            <v>010.000.0811.00</v>
          </cell>
          <cell r="E91" t="str">
            <v>FLUOCINOLONA. CREMA CADA G CONTIENE: ACETÓNIDO DE FLUOCINOLONA 0.1 MG ENVASE CON 20 G.</v>
          </cell>
          <cell r="U91">
            <v>1003834</v>
          </cell>
          <cell r="V91">
            <v>2509584</v>
          </cell>
        </row>
        <row r="92">
          <cell r="A92">
            <v>89</v>
          </cell>
          <cell r="B92" t="str">
            <v>010.000.0813.00</v>
          </cell>
          <cell r="E92" t="str">
            <v>HIDROCORTISONA. CREMA CADA G CONTIENE: 17 BUTIRATO DE HIDROCORTISONA 1 MG ENVASE CON 15 G.</v>
          </cell>
          <cell r="U92">
            <v>1002980</v>
          </cell>
          <cell r="V92">
            <v>2507448</v>
          </cell>
        </row>
        <row r="93">
          <cell r="A93">
            <v>90</v>
          </cell>
          <cell r="B93" t="str">
            <v>010.000.0822.00</v>
          </cell>
          <cell r="E93" t="str">
            <v>BENZOILO. LOCIÓN DÉRMICA O GEL DÉRMICO CADA 100 MILILITROS O GRAMOS CONTIENEN: PERÓXIDO DE BENZOILO 5 G ENVASE CON 30 ML</v>
          </cell>
          <cell r="U93">
            <v>99</v>
          </cell>
          <cell r="V93">
            <v>245</v>
          </cell>
        </row>
        <row r="94">
          <cell r="A94">
            <v>91</v>
          </cell>
          <cell r="B94" t="str">
            <v>010.000.0831.00</v>
          </cell>
          <cell r="E94" t="str">
            <v>ALANTOINA Y ALQUITRAN DE HULLA SUSPENSION DERMICA CADA ML CONTIENE: ALANTOINA20.0 MG ALQUITRAN DE HULLA 9.4 MG ENVASE CON 120 ML.</v>
          </cell>
          <cell r="U94">
            <v>73948</v>
          </cell>
          <cell r="V94">
            <v>184869</v>
          </cell>
        </row>
        <row r="95">
          <cell r="A95">
            <v>92</v>
          </cell>
          <cell r="B95" t="str">
            <v>010.000.0865.00</v>
          </cell>
          <cell r="E95" t="str">
            <v>Permetrina. Solución Cada 100 ml contienen: Permetrina 1 g Envase con 110 ml.</v>
          </cell>
          <cell r="U95">
            <v>439332</v>
          </cell>
          <cell r="V95">
            <v>1098329</v>
          </cell>
        </row>
        <row r="96">
          <cell r="A96">
            <v>93</v>
          </cell>
          <cell r="B96" t="str">
            <v>010.000.0872.00</v>
          </cell>
          <cell r="E96" t="str">
            <v>CLIOQUINOL. CREMA 
  Cada g contiene: Clioquinol 30 mg. 
  Envase con 20 g.</v>
          </cell>
          <cell r="U96">
            <v>1113083</v>
          </cell>
          <cell r="V96">
            <v>2782705</v>
          </cell>
        </row>
        <row r="97">
          <cell r="A97">
            <v>94</v>
          </cell>
          <cell r="B97" t="str">
            <v>010.000.0891.00</v>
          </cell>
          <cell r="E97" t="str">
            <v>Miconazol. Crema Cada gramo contiene: Nitrato de miconazol 20 mg Envase con 20 g.</v>
          </cell>
          <cell r="U97">
            <v>8010751</v>
          </cell>
          <cell r="V97">
            <v>20026875</v>
          </cell>
        </row>
        <row r="98">
          <cell r="A98">
            <v>95</v>
          </cell>
          <cell r="B98" t="str">
            <v>010.000.0901.00</v>
          </cell>
          <cell r="E98" t="str">
            <v>Podofilina. Solución Dérmica Cada ml contiene: Resina de podofilina 250 mg Envase con 5 ml.</v>
          </cell>
          <cell r="U98">
            <v>100430</v>
          </cell>
          <cell r="V98">
            <v>251072</v>
          </cell>
        </row>
        <row r="99">
          <cell r="A99">
            <v>96</v>
          </cell>
          <cell r="B99" t="str">
            <v>010.000.0903.00</v>
          </cell>
          <cell r="E99" t="str">
            <v>Fluorouracilo. Crema o Ungüento Cada gramo contiene: 5- Fluorouracilo 50 mg Envase con 20 g.</v>
          </cell>
          <cell r="U99">
            <v>36039</v>
          </cell>
          <cell r="V99">
            <v>90095</v>
          </cell>
        </row>
        <row r="100">
          <cell r="A100">
            <v>97</v>
          </cell>
          <cell r="B100" t="str">
            <v>010.000.0904.00</v>
          </cell>
          <cell r="E100" t="str">
            <v>ACIDO RETINOICO. CREMA 
  Cada 100 gramos contienen: 
  Ácido retinoico 0.05 g. 
  Envase con 20 g.</v>
          </cell>
          <cell r="U100">
            <v>174220</v>
          </cell>
          <cell r="V100">
            <v>435547</v>
          </cell>
        </row>
        <row r="101">
          <cell r="A101">
            <v>98</v>
          </cell>
          <cell r="B101" t="str">
            <v>010.000.0906.00</v>
          </cell>
          <cell r="E101" t="str">
            <v>DAPSONA. TABLETA CADA TABLETA CONTIENE: DAPSONA 100 MG ENVASE CON 1000 TABLETAS.</v>
          </cell>
          <cell r="U101">
            <v>3827</v>
          </cell>
          <cell r="V101">
            <v>9567</v>
          </cell>
        </row>
        <row r="102">
          <cell r="A102">
            <v>99</v>
          </cell>
          <cell r="B102" t="str">
            <v>010.000.0910.00</v>
          </cell>
          <cell r="E102" t="str">
            <v>Aceite de almendras dulces. Crema Aceite de almendras dulces lanolina glicerina propilenglicol sorbitol. Envase con 235 ml.</v>
          </cell>
          <cell r="U102">
            <v>67921</v>
          </cell>
          <cell r="V102">
            <v>169799</v>
          </cell>
        </row>
        <row r="103">
          <cell r="A103">
            <v>100</v>
          </cell>
          <cell r="B103" t="str">
            <v>010.000.1005.00</v>
          </cell>
          <cell r="E103" t="str">
            <v>TIROXINA - TRIYODOTIRONINA. TABLETA CADA TABLETA CONTIENE: TIROXINA 100 µG. TRIYODOTIRONINA 20 µG. ENVASE CON 50 TABLETAS.</v>
          </cell>
          <cell r="U103">
            <v>55856</v>
          </cell>
          <cell r="V103">
            <v>139638</v>
          </cell>
        </row>
        <row r="104">
          <cell r="A104">
            <v>101</v>
          </cell>
          <cell r="B104" t="str">
            <v>010.000.1006.00</v>
          </cell>
          <cell r="E104" t="str">
            <v>Calcio. Comprimido Efervescente Cada comprimido contiene: Lactato gluconato de calcio 2.94 g. Carbonato de calcio 300 mg. equivalente a 500 mg de calcio ionizable. Envase con 12 comprimidos.</v>
          </cell>
          <cell r="U104">
            <v>2994989</v>
          </cell>
          <cell r="V104">
            <v>7487469</v>
          </cell>
        </row>
        <row r="105">
          <cell r="A105">
            <v>102</v>
          </cell>
          <cell r="B105" t="str">
            <v>010.000.1007.00</v>
          </cell>
          <cell r="E105" t="str">
            <v>Levotiroxina. Tableta Cada tableta contiene: Levotiroxina sódica equivalente a 100 µg de levotiroxina sódica anhidra. Envase con 100 tabletas.</v>
          </cell>
          <cell r="U105">
            <v>2699151</v>
          </cell>
          <cell r="V105">
            <v>6747877</v>
          </cell>
        </row>
        <row r="106">
          <cell r="A106">
            <v>103</v>
          </cell>
          <cell r="B106" t="str">
            <v>010.000.1022.00</v>
          </cell>
          <cell r="E106" t="str">
            <v>Tiamazol. Tableta Cada tableta contiene: Tiamazol 5 mg. Envase con 20 tabletas.</v>
          </cell>
          <cell r="U106">
            <v>776110</v>
          </cell>
          <cell r="V106">
            <v>1940273</v>
          </cell>
        </row>
        <row r="107">
          <cell r="A107">
            <v>104</v>
          </cell>
          <cell r="B107" t="str">
            <v>010.000.1042.00</v>
          </cell>
          <cell r="E107" t="str">
            <v>GLIBENCLAMIDA. TABLETA CADA TABLETA CONTIENE: GLIBENCLAMIDA 5 MG. ENVASE CON 50 TABLETAS.</v>
          </cell>
          <cell r="U107">
            <v>6989529</v>
          </cell>
          <cell r="V107">
            <v>17473820</v>
          </cell>
        </row>
        <row r="108">
          <cell r="A108">
            <v>105</v>
          </cell>
          <cell r="B108" t="str">
            <v>010.000.1050.00</v>
          </cell>
          <cell r="E108" t="str">
            <v>INSULINA HUMANA. SUSPENSIÓN INYECTABLE ACCIÓN INTERMEDIA NPH CADA ML CONTIENE: INSULINA HUMANA ISÓFANA (ORIGEN ADN RECOMBINANTE) 100 UI Ó INSULINA ZINC ISÓFANA HUMANA (ORIGEN ADN RECOMBINANTE) 100 UI ENVASE CON UN FRASCO ÁMPULA CON 5 ML.</v>
          </cell>
          <cell r="U108">
            <v>9534</v>
          </cell>
          <cell r="V108">
            <v>23831</v>
          </cell>
        </row>
        <row r="109">
          <cell r="A109">
            <v>106</v>
          </cell>
          <cell r="B109" t="str">
            <v>010.000.1050.01</v>
          </cell>
          <cell r="E109" t="str">
            <v>Insulina humana. Suspensión Inyectable Acción INTERMEDIA NPH Cada ml contiene: Insulina humana isófana (origen ADN recombinante) 100 UI ó Insulina zinc isófana humana (origen ADN recombinante) 100 UI Envase con un frasco ámpula con 10 ml.</v>
          </cell>
          <cell r="U109">
            <v>4360704</v>
          </cell>
          <cell r="V109">
            <v>10901758</v>
          </cell>
        </row>
        <row r="110">
          <cell r="A110">
            <v>107</v>
          </cell>
          <cell r="B110" t="str">
            <v>010.000.1051.00</v>
          </cell>
          <cell r="E110" t="str">
            <v>Insulina humana. Solución Inyectable Acción Rápida Regular Cada ml contiene: Insulina humana (origen ADN recombinante) 100 UI ó Insulina zinc isófana humana (origen ADN recombinante) 100 UI Envase con un frasco ámpula con 5 ml.</v>
          </cell>
          <cell r="U110">
            <v>4865</v>
          </cell>
          <cell r="V110">
            <v>12161</v>
          </cell>
        </row>
        <row r="111">
          <cell r="A111">
            <v>108</v>
          </cell>
          <cell r="B111" t="str">
            <v>010.000.1061.00</v>
          </cell>
          <cell r="E111" t="str">
            <v>Testosterona. Solución Inyectable Cada ampolleta contiene: Enantato de testosterona 250 mg Envase con ampolleta con 1 ml.</v>
          </cell>
          <cell r="U111">
            <v>60356</v>
          </cell>
          <cell r="V111">
            <v>150887</v>
          </cell>
        </row>
        <row r="112">
          <cell r="A112">
            <v>109</v>
          </cell>
          <cell r="B112" t="str">
            <v>010.000.1081.00</v>
          </cell>
          <cell r="E112" t="str">
            <v>GONADOTROFINA CORIONICA SOLUCION INYECTABLE CADA FRASCO AMPULA O AMPOLLETA CONLIOFILIZADO CONTIENE: GONADOTROFINA CORIONICA 5 000 UI ENVASE CON 1 FRASCOAMPULA Y AMPOLLETA CON 2 ML DE DILUYENTE.</v>
          </cell>
          <cell r="U112">
            <v>548</v>
          </cell>
          <cell r="V112">
            <v>1369</v>
          </cell>
        </row>
        <row r="113">
          <cell r="A113">
            <v>110</v>
          </cell>
          <cell r="B113" t="str">
            <v>010.000.1081.01</v>
          </cell>
          <cell r="E113" t="str">
            <v>Gonadotrofina coriónica. Solución Inyectable Cada frasco ámpula o ampolleta con liofilizado contiene: Gonadotrofina coriónica 5 000 UI Envase con 1 o 3 ampolletas o frascos viales y 1 o 3 ampolletas con 1 ml de diluyente.</v>
          </cell>
          <cell r="U113">
            <v>9255</v>
          </cell>
          <cell r="V113">
            <v>23137</v>
          </cell>
        </row>
        <row r="114">
          <cell r="A114">
            <v>111</v>
          </cell>
          <cell r="B114" t="str">
            <v>010.000.1081.02</v>
          </cell>
          <cell r="E114" t="str">
            <v>GONADOTROFINA CORIONICA. SOLUCION INYECTABLE. CADA FRASCO AMPULA CONLIOFILIZADO CONTIENE: GONADOTROFINA CORIONICA 250 MICROGRAMOS. ENVASE CON 1FRASCO  AMPULA CON LIOFILIZADO Y FRASCO AMPULA O AMPOLLETA CON 1 ML DEDILUYENTE.</v>
          </cell>
          <cell r="U114">
            <v>1084</v>
          </cell>
          <cell r="V114">
            <v>2707</v>
          </cell>
        </row>
        <row r="115">
          <cell r="A115">
            <v>112</v>
          </cell>
          <cell r="B115" t="str">
            <v>010.000.1094.00</v>
          </cell>
          <cell r="E115" t="str">
            <v>Cabergolina. Tableta Cada Tableta contiene: Cabergolina 0.5 mg Envase con 2 Tabletas.</v>
          </cell>
          <cell r="U115">
            <v>107509</v>
          </cell>
          <cell r="V115">
            <v>268772</v>
          </cell>
        </row>
        <row r="116">
          <cell r="A116">
            <v>113</v>
          </cell>
          <cell r="B116" t="str">
            <v>010.000.1094.01</v>
          </cell>
          <cell r="E116" t="str">
            <v>Cabergolina. Tableta Cada Tableta contiene: Cabergolina 0.5 mg Envase con 4 Tabletas.</v>
          </cell>
          <cell r="U116">
            <v>194754</v>
          </cell>
          <cell r="V116">
            <v>486883</v>
          </cell>
        </row>
        <row r="117">
          <cell r="A117">
            <v>114</v>
          </cell>
          <cell r="B117" t="str">
            <v>010.000.1095.00</v>
          </cell>
          <cell r="E117" t="str">
            <v>Calcitriol. Cápsula de Gelatina blanda Cada cápsula contiene: Calcitriol 0.25 µg. Envase con 50 cápsulas.</v>
          </cell>
          <cell r="U117">
            <v>3893943</v>
          </cell>
          <cell r="V117">
            <v>9734856</v>
          </cell>
        </row>
        <row r="118">
          <cell r="A118">
            <v>115</v>
          </cell>
          <cell r="B118" t="str">
            <v>010.000.1096.00</v>
          </cell>
          <cell r="E118" t="str">
            <v>Bromocriptina. Tableta Cada Tableta contiene: Mesilato de bromocriptina equivalente a 2.5 mg de bromocriptina. Envase con 14 Tabletas.</v>
          </cell>
          <cell r="U118">
            <v>12435</v>
          </cell>
          <cell r="V118">
            <v>31085</v>
          </cell>
        </row>
        <row r="119">
          <cell r="A119">
            <v>116</v>
          </cell>
          <cell r="B119" t="str">
            <v>010.000.1097.00</v>
          </cell>
          <cell r="E119" t="str">
            <v>Desmopresina. Solución nasal. Cada ml contiene: Acetato de desmopresina equivalente a 89 µg de desmopresina. Envase nebulizador con 2.5 ml.</v>
          </cell>
          <cell r="U119">
            <v>106193</v>
          </cell>
          <cell r="V119">
            <v>265480</v>
          </cell>
        </row>
        <row r="120">
          <cell r="A120">
            <v>117</v>
          </cell>
          <cell r="B120" t="str">
            <v>010.000.1098.00</v>
          </cell>
          <cell r="E120" t="str">
            <v>Vitaminas A C y D. Solución. Cada ml contiene: Palmitato de Retinol 7000 a 9000 UI. Ácido ascórbico 80 a 125 mg. Colecalciferol 1400 a 1800 UI. Envase con 15 ml.</v>
          </cell>
          <cell r="U120">
            <v>1956320</v>
          </cell>
          <cell r="V120">
            <v>4890799</v>
          </cell>
        </row>
        <row r="121">
          <cell r="A121">
            <v>118</v>
          </cell>
          <cell r="B121" t="str">
            <v>010.000.1099.00</v>
          </cell>
          <cell r="E121" t="str">
            <v>Desmopresina. Tableta. Cada tableta contiene: Acetato de desmopresina 0.2 mg. equivalente a 178 µg de desmopresina. Envase con 30 tabletas.</v>
          </cell>
          <cell r="U121">
            <v>28236</v>
          </cell>
          <cell r="V121">
            <v>70588</v>
          </cell>
        </row>
        <row r="122">
          <cell r="A122">
            <v>119</v>
          </cell>
          <cell r="B122" t="str">
            <v>010.000.1100.00</v>
          </cell>
          <cell r="E122" t="str">
            <v>PARICALCITOL. SOLUCION INYECTABLE. Cada ampolleta o frasco ámpula contiene: Paricalcitol 5µg. Envase con 5 ampolletas o frascos ámpulas con 1mL.</v>
          </cell>
          <cell r="U122">
            <v>11299</v>
          </cell>
          <cell r="V122">
            <v>28245</v>
          </cell>
        </row>
        <row r="123">
          <cell r="A123">
            <v>120</v>
          </cell>
          <cell r="B123" t="str">
            <v>010.000.1102.00</v>
          </cell>
          <cell r="E123" t="str">
            <v>PARICALCITOL. CÁPSULA CADA CÁPSULA CONTIENE: PARICALCITOL 4 µG. ENVASE CON 30 CÁPSULAS.</v>
          </cell>
          <cell r="U123">
            <v>10</v>
          </cell>
          <cell r="V123">
            <v>25</v>
          </cell>
        </row>
        <row r="124">
          <cell r="A124">
            <v>121</v>
          </cell>
          <cell r="B124" t="str">
            <v>010.000.1206.00</v>
          </cell>
          <cell r="E124" t="str">
            <v>Butilhioscina o hioscina. Gragea o Tableta Cada Gragea o Tableta contiene: Bromuro de butilhioscina o butilbromuro de hioscina 10 mg Envase con 10 Grageas o Tabletas.</v>
          </cell>
          <cell r="U124">
            <v>8947387</v>
          </cell>
          <cell r="V124">
            <v>22368464</v>
          </cell>
        </row>
        <row r="125">
          <cell r="A125">
            <v>122</v>
          </cell>
          <cell r="B125" t="str">
            <v>010.000.1207.00</v>
          </cell>
          <cell r="E125" t="str">
            <v>Butilhioscina o hioscina. Solución Inyectable Cada ampolleta contiene: Bromuro de butilhioscina o butilbromuro de hioscina 20 mg Envase con 3 ampolletas de 1 ml.</v>
          </cell>
          <cell r="U125">
            <v>2234933</v>
          </cell>
          <cell r="V125">
            <v>5587329</v>
          </cell>
        </row>
        <row r="126">
          <cell r="A126">
            <v>123</v>
          </cell>
          <cell r="B126" t="str">
            <v>010.000.1208.00</v>
          </cell>
          <cell r="E126" t="str">
            <v>Cisaprida. Suspensión Oral Cada 100 ml contienen: Cisaprida 100 mg Envase con 60 ml y dosificador.</v>
          </cell>
          <cell r="U126">
            <v>65455</v>
          </cell>
          <cell r="V126">
            <v>163636</v>
          </cell>
        </row>
        <row r="127">
          <cell r="A127">
            <v>124</v>
          </cell>
          <cell r="B127" t="str">
            <v>010.000.1209.00</v>
          </cell>
          <cell r="E127" t="str">
            <v>Cisaprida. Tableta Cada Tableta contiene: Cisaprida 5 mg Envase con 30 Tabletas.</v>
          </cell>
          <cell r="U127">
            <v>21238</v>
          </cell>
          <cell r="V127">
            <v>53093</v>
          </cell>
        </row>
        <row r="128">
          <cell r="A128">
            <v>125</v>
          </cell>
          <cell r="B128" t="str">
            <v>010.000.1210.00</v>
          </cell>
          <cell r="E128" t="str">
            <v>Pinaverio. Tableta Cada Tableta contiene: Bromuro de pinaverio 100 mg Envase con 14 Tabletas</v>
          </cell>
          <cell r="U128">
            <v>22281</v>
          </cell>
          <cell r="V128">
            <v>55699</v>
          </cell>
        </row>
        <row r="129">
          <cell r="A129">
            <v>126</v>
          </cell>
          <cell r="B129" t="str">
            <v>010.000.1210.01</v>
          </cell>
          <cell r="E129" t="str">
            <v>Pinaverio. Tableta Cada Tableta contiene: Bromuro de pinaverio 100 mg Envase con 28 Tabletas.</v>
          </cell>
          <cell r="U129">
            <v>6849864</v>
          </cell>
          <cell r="V129">
            <v>17124658</v>
          </cell>
        </row>
        <row r="130">
          <cell r="A130">
            <v>127</v>
          </cell>
          <cell r="B130" t="str">
            <v>010.000.1221.00</v>
          </cell>
          <cell r="E130" t="str">
            <v>ALUMINIO. TABLETA. CADA TABLETA CONTIENE: HIDRÓXIDO DE ALUMINIO 200 MG. ENVASE CON 50 TABLETAS.</v>
          </cell>
          <cell r="U130">
            <v>119654</v>
          </cell>
          <cell r="V130">
            <v>299134</v>
          </cell>
        </row>
        <row r="131">
          <cell r="A131">
            <v>128</v>
          </cell>
          <cell r="B131" t="str">
            <v>010.000.1222.00</v>
          </cell>
          <cell r="E131" t="str">
            <v>Aluminio. Suspensión Oral Cada 100 ml contienen: Hidróxido de aluminio 7 g Envase con 240 ml y dosificador (350 mg/5 ml).</v>
          </cell>
          <cell r="U131">
            <v>166158</v>
          </cell>
          <cell r="V131">
            <v>415393</v>
          </cell>
        </row>
        <row r="132">
          <cell r="A132">
            <v>129</v>
          </cell>
          <cell r="B132" t="str">
            <v>010.000.1223.00</v>
          </cell>
          <cell r="E132" t="str">
            <v>Aluminio y magnesio. Tableta Masticable Cada Tableta Masticable contiene: Hidróxido de aluminio 200 mg Hidróxido de magnesio 200 mg o trisilicato de magnesio: 447.3 mg Envase con 50 Tabletas Masticables.</v>
          </cell>
          <cell r="U132">
            <v>926397</v>
          </cell>
          <cell r="V132">
            <v>2315991</v>
          </cell>
        </row>
        <row r="133">
          <cell r="A133">
            <v>130</v>
          </cell>
          <cell r="B133" t="str">
            <v>010.000.1224.00</v>
          </cell>
          <cell r="E133" t="str">
            <v>Aluminio y magnesio. Suspensión Oral Cada 100 ml contienen: Hidróxido de aluminio 3.7 g Hidróxido de magnesio 4.0 g o trisilicato de magnesio: 8.9 g Envase con 240 ml y dosificador.</v>
          </cell>
          <cell r="U133">
            <v>6676362</v>
          </cell>
          <cell r="V133">
            <v>16690903</v>
          </cell>
        </row>
        <row r="134">
          <cell r="A134">
            <v>131</v>
          </cell>
          <cell r="B134" t="str">
            <v>010.000.1241.00</v>
          </cell>
          <cell r="E134" t="str">
            <v>Metoclopramida. Solución Inyectable Cada ampolleta contiene: Clorhidrato de metoclopramida 10 mg Envase con 6 ampolletas de 2 ml.</v>
          </cell>
          <cell r="U134">
            <v>1324055</v>
          </cell>
          <cell r="V134">
            <v>3310136</v>
          </cell>
        </row>
        <row r="135">
          <cell r="A135">
            <v>132</v>
          </cell>
          <cell r="B135" t="str">
            <v>010.000.1242.00</v>
          </cell>
          <cell r="E135" t="str">
            <v>Metoclopramida. Tableta Cada Tableta contiene: Clorhidrato de metoclopramida 10 mg Envase con 20 Tabletas.</v>
          </cell>
          <cell r="U135">
            <v>5074225</v>
          </cell>
          <cell r="V135">
            <v>12685561</v>
          </cell>
        </row>
        <row r="136">
          <cell r="A136">
            <v>133</v>
          </cell>
          <cell r="B136" t="str">
            <v>010.000.1243.00</v>
          </cell>
          <cell r="E136" t="str">
            <v>Metoclopramida. Solución Cada ml contiene: Clorhidrato de metoclopramida 4 mg Envase frasco gotero con 20 ml.</v>
          </cell>
          <cell r="U136">
            <v>545261</v>
          </cell>
          <cell r="V136">
            <v>1363151</v>
          </cell>
        </row>
        <row r="137">
          <cell r="A137">
            <v>134</v>
          </cell>
          <cell r="B137" t="str">
            <v>010.000.1244.00</v>
          </cell>
          <cell r="E137" t="str">
            <v>Mesalazina. Suspensión rectal. Cada 100 ml contiene: Mesalazina 6.667 g. Envase con 7 enemas de 60 ml.</v>
          </cell>
          <cell r="U137">
            <v>19802</v>
          </cell>
          <cell r="V137">
            <v>49504</v>
          </cell>
        </row>
        <row r="138">
          <cell r="A138">
            <v>135</v>
          </cell>
          <cell r="B138" t="str">
            <v>010.000.1270.01</v>
          </cell>
          <cell r="E138" t="str">
            <v>SENÓSIDOS A-B. SOLUCIÓN ORAL CADA 100 ML CONTIENEN: CONCENTRADO DE SEN EQUIVALENTE A 200 MG DE SENÓSIDOS A Y B. ENVASE CON SOBRE CON POLVO Y FRASCO CON 75 ML DE SOLUCIÓN PARA RECONSTITUIR.</v>
          </cell>
          <cell r="U138">
            <v>250375</v>
          </cell>
          <cell r="V138">
            <v>625935</v>
          </cell>
        </row>
        <row r="139">
          <cell r="A139">
            <v>136</v>
          </cell>
          <cell r="B139" t="str">
            <v>010.000.1271.00</v>
          </cell>
          <cell r="E139" t="str">
            <v>Plántago psyllium. Polvo Cada 100 g contienen: Polvo de cáscara de semilla de plántago psyllium 49.7 g Envase con 400 g.</v>
          </cell>
          <cell r="U139">
            <v>3006867</v>
          </cell>
          <cell r="V139">
            <v>7517167</v>
          </cell>
        </row>
        <row r="140">
          <cell r="A140">
            <v>137</v>
          </cell>
          <cell r="B140" t="str">
            <v>010.000.1272.00</v>
          </cell>
          <cell r="E140" t="str">
            <v>Senósidos a-b. Tableta Cada Tableta contiene: Concentrados de Sen desecados 187 mg (normalizado a 8.6 mg de senósidos A-B). Envase con 20 Tabletas.</v>
          </cell>
          <cell r="U140">
            <v>10097249</v>
          </cell>
          <cell r="V140">
            <v>25243120</v>
          </cell>
        </row>
        <row r="141">
          <cell r="A141">
            <v>138</v>
          </cell>
          <cell r="B141" t="str">
            <v>010.000.1282.00</v>
          </cell>
          <cell r="E141" t="str">
            <v>GLICEROL. SUPOSITORIO. CADA SUPOSITORIO CONTIENE: GLICEROL 1.380 G ENVASE CON 20 SUPOSITORIOS.</v>
          </cell>
          <cell r="U141">
            <v>3</v>
          </cell>
          <cell r="V141">
            <v>5</v>
          </cell>
        </row>
        <row r="142">
          <cell r="A142">
            <v>139</v>
          </cell>
          <cell r="B142" t="str">
            <v>010.000.1301.00</v>
          </cell>
          <cell r="E142" t="str">
            <v>Diyodohidroxiquinoleína. Tableta. Cada tableta contiene: Diyodohidroxi- quinoleína 650 mg Envase con 60 Tabletas.</v>
          </cell>
          <cell r="U142">
            <v>8</v>
          </cell>
          <cell r="V142">
            <v>20</v>
          </cell>
        </row>
        <row r="143">
          <cell r="A143">
            <v>140</v>
          </cell>
          <cell r="B143" t="str">
            <v>010.000.1308.00</v>
          </cell>
          <cell r="E143" t="str">
            <v>Metronidazol. Tableta Cada Tableta contiene: Metronidazol 500 mg Envase con 20 Tabletas.</v>
          </cell>
          <cell r="U143">
            <v>886</v>
          </cell>
          <cell r="V143">
            <v>2213</v>
          </cell>
        </row>
        <row r="144">
          <cell r="A144">
            <v>141</v>
          </cell>
          <cell r="B144" t="str">
            <v>010.000.1308.01</v>
          </cell>
          <cell r="E144" t="str">
            <v>Metronidazol. Tableta Cada Tableta contiene: Metronidazol 500 mg Envase con 30 Tabletas.</v>
          </cell>
          <cell r="U144">
            <v>2078522</v>
          </cell>
          <cell r="V144">
            <v>5196303</v>
          </cell>
        </row>
        <row r="145">
          <cell r="A145">
            <v>142</v>
          </cell>
          <cell r="B145" t="str">
            <v>010.000.1309.00</v>
          </cell>
          <cell r="E145" t="str">
            <v>Metronidazol. Solución Inyectable Cada ampolleta o frasco ámpula contiene: Metronidazol 200 mg Envase con 2 ampolletas o frascos ámpula con 10 ml.</v>
          </cell>
          <cell r="U145">
            <v>101353</v>
          </cell>
          <cell r="V145">
            <v>253382</v>
          </cell>
        </row>
        <row r="146">
          <cell r="A146">
            <v>143</v>
          </cell>
          <cell r="B146" t="str">
            <v>010.000.1310.00</v>
          </cell>
          <cell r="E146" t="str">
            <v>Metronidazol. Suspensión Oral Cada 5 ml contienen: Benzoilo de metronidazol equivalente a 250 mg de metronidazol. Envase con 120 ml y dosificador.</v>
          </cell>
          <cell r="U146">
            <v>764755</v>
          </cell>
          <cell r="V146">
            <v>1911885</v>
          </cell>
        </row>
        <row r="147">
          <cell r="A147">
            <v>144</v>
          </cell>
          <cell r="B147" t="str">
            <v>010.000.1311.00</v>
          </cell>
          <cell r="E147" t="str">
            <v>Metronidazol. Solución Inyectable Cada 100 ml contienen: Metronidazol 500 mg Envase con 100 ml.</v>
          </cell>
          <cell r="U147">
            <v>3691583</v>
          </cell>
          <cell r="V147">
            <v>9228956</v>
          </cell>
        </row>
        <row r="148">
          <cell r="A148">
            <v>145</v>
          </cell>
          <cell r="B148" t="str">
            <v>010.000.1314.00</v>
          </cell>
          <cell r="E148" t="str">
            <v>QUINFAMIDA TABLETA CADA TABLETA CONTIENE: QUINFAMIDA 300 MG ENVASE CON UNATABLETA.</v>
          </cell>
          <cell r="U148">
            <v>40332</v>
          </cell>
          <cell r="V148">
            <v>100828</v>
          </cell>
        </row>
        <row r="149">
          <cell r="A149">
            <v>146</v>
          </cell>
          <cell r="B149" t="str">
            <v>010.000.1344.00</v>
          </cell>
          <cell r="E149" t="str">
            <v>Albendazol. Tableta Cada Tableta contiene: albendazol 200 mg Envase con 2 Tabletas.</v>
          </cell>
          <cell r="U149">
            <v>6596909</v>
          </cell>
          <cell r="V149">
            <v>16492272</v>
          </cell>
        </row>
        <row r="150">
          <cell r="A150">
            <v>147</v>
          </cell>
          <cell r="B150" t="str">
            <v>010.000.1345.00</v>
          </cell>
          <cell r="E150" t="str">
            <v>Albendazol. Suspensión Oral Cada frasco contiene: albendazol 400 mg Envase con 20 ml.</v>
          </cell>
          <cell r="U150">
            <v>20511888</v>
          </cell>
          <cell r="V150">
            <v>51279718</v>
          </cell>
        </row>
        <row r="151">
          <cell r="A151">
            <v>148</v>
          </cell>
          <cell r="B151" t="str">
            <v>010.000.1363.00</v>
          </cell>
          <cell r="E151" t="str">
            <v>LIDOCAÍNA - HIDROCORTISONA. UNGÜENTO CADA 100 GRAMOS CONTIENE: LIDOCAÍNA 5 G ACETATO DE HIDROCORTISONA 0.25 G SUBACETATO DE ALUMINIO 3.50 G ÓXIDO DE ZINC 18 G ENVASE CON 20 G Y APLICADOR.</v>
          </cell>
          <cell r="U151">
            <v>1223272</v>
          </cell>
          <cell r="V151">
            <v>3058177</v>
          </cell>
        </row>
        <row r="152">
          <cell r="A152">
            <v>149</v>
          </cell>
          <cell r="B152" t="str">
            <v>010.000.1364.00</v>
          </cell>
          <cell r="E152" t="str">
            <v>LIDOCAÍNA - HIDROCORTISONA. SUPOSITORIO CADA SUPOSITORIO CONTIENE: LIDOCAÍNA 60 MG ACETATO DE HIDROCORTISONA 5 MG ÓXIDO DE ZINC 400 MG SUBACETATO DE ALUMINIO 50 MG ENVASE CON 6 SUPOSITORIOS.</v>
          </cell>
          <cell r="U152">
            <v>550792</v>
          </cell>
          <cell r="V152">
            <v>1376977</v>
          </cell>
        </row>
        <row r="153">
          <cell r="A153">
            <v>150</v>
          </cell>
          <cell r="B153" t="str">
            <v>010.000.1489.00</v>
          </cell>
          <cell r="E153" t="str">
            <v>ESTROGENOS CONJUGADOS. GRAGEA O TABLETA CADA GRAGEA O TABLETA CONTIENE: ESTROGENOS CONJUGADOS DE ORIGEN VEGETAL 0.625 MG ENVASE CON 42 GRAGEAS O TABLETAS.</v>
          </cell>
          <cell r="U153">
            <v>1248</v>
          </cell>
          <cell r="V153">
            <v>3118</v>
          </cell>
        </row>
        <row r="154">
          <cell r="A154">
            <v>151</v>
          </cell>
          <cell r="B154" t="str">
            <v>010.000.1494.00</v>
          </cell>
          <cell r="E154" t="str">
            <v>Estradiol valerato de. Gragea Cada Gragea contiene: Valerato de estradiol 1 mg Envase con 28 Grageas</v>
          </cell>
          <cell r="U154">
            <v>143</v>
          </cell>
          <cell r="V154">
            <v>355</v>
          </cell>
        </row>
        <row r="155">
          <cell r="A155">
            <v>152</v>
          </cell>
          <cell r="B155" t="str">
            <v>010.000.1495.00</v>
          </cell>
          <cell r="E155" t="str">
            <v>Estradiol valerato de. Gragea Cada Gragea contiene: Valerato de estradiol 2 mg Envase con 28 Grageas</v>
          </cell>
          <cell r="U155">
            <v>324</v>
          </cell>
          <cell r="V155">
            <v>808</v>
          </cell>
        </row>
        <row r="156">
          <cell r="A156">
            <v>153</v>
          </cell>
          <cell r="B156" t="str">
            <v>010.000.1501.00</v>
          </cell>
          <cell r="E156" t="str">
            <v>Estrógenos conjugados. Gragea o Tableta Cada Gragea o Tableta contiene: Estrógenos conjugados de origen equino 0.625 mg Envase con 42 Grageas o Tabletas.</v>
          </cell>
          <cell r="U156">
            <v>313932</v>
          </cell>
          <cell r="V156">
            <v>784830</v>
          </cell>
        </row>
        <row r="157">
          <cell r="A157">
            <v>154</v>
          </cell>
          <cell r="B157" t="str">
            <v>010.000.1502.00</v>
          </cell>
          <cell r="E157" t="str">
            <v>ESTRÓGENOS CONJUGADOS. GRAGEA CADA GRAGEA CONTIENE: ESTRÓGENOS CONJUGADOS DE ORIGEN EQUINO 1.250 MG ENVASE CON 42 GRAGEAS.</v>
          </cell>
          <cell r="U157">
            <v>19</v>
          </cell>
          <cell r="V157">
            <v>45</v>
          </cell>
        </row>
        <row r="158">
          <cell r="A158">
            <v>155</v>
          </cell>
          <cell r="B158" t="str">
            <v>010.000.1506.00</v>
          </cell>
          <cell r="E158" t="str">
            <v>Estrógenos conjugados. Crema Vaginal Cada 100 g contiene: Estrógenos conjugados de origen equino 62.5 mg Envase con 43 g y aplicador.</v>
          </cell>
          <cell r="U158">
            <v>1108988</v>
          </cell>
          <cell r="V158">
            <v>2772468</v>
          </cell>
        </row>
        <row r="159">
          <cell r="A159">
            <v>156</v>
          </cell>
          <cell r="B159" t="str">
            <v>010.000.1508.00</v>
          </cell>
          <cell r="E159" t="str">
            <v>Estrógenos conjugados y medroxiprogesterona. Gragea Cada Gragea contiene: Estrógenos conjugados de origen equino 0.625 mg Acetato de Medroxiprogesterona 2.5 mg Envase con 28 Grageas.</v>
          </cell>
          <cell r="U159">
            <v>402496</v>
          </cell>
          <cell r="V159">
            <v>1006238</v>
          </cell>
        </row>
        <row r="160">
          <cell r="A160">
            <v>157</v>
          </cell>
          <cell r="B160" t="str">
            <v>010.000.1509.00</v>
          </cell>
          <cell r="E160" t="str">
            <v>ESTRÓGENOS CONJUGADOS Y MEDROXIPROGESTERONA. GRAGEA CADA GRAGEA DE COLOR MARRÓN CONTIENE: ESTRÓGENOS CONJUGADOS DE ORIGEN EQUINO 0.625 MG CADA GRAGEA DE COLOR AZUL CONTIENE: ESTRÓGENOS CONJUGADOS DE ORIGEN EQUINO 0.625 MG ACETATO DE MEDROXIPRO- GESTERONA 5.0 MG ENVASE CON 28 GRAGEAS 14 GRAGEAS DE COLOR AZUL Y 14 GRAGEAS DE COLOR MARRÓN.</v>
          </cell>
          <cell r="U160">
            <v>9</v>
          </cell>
          <cell r="V160">
            <v>20</v>
          </cell>
        </row>
        <row r="161">
          <cell r="A161">
            <v>158</v>
          </cell>
          <cell r="B161" t="str">
            <v>010.000.1511.00</v>
          </cell>
          <cell r="E161" t="str">
            <v>CIPROTERONA-ETINILESTRADIOL. GRAGEA CADA GRAGEA CONTIENE: ACETATO DE CIPROTERONA 2 MG ETINILESTRADIOL 0.035 MG ENVASE CON 21 GRAGEAS.</v>
          </cell>
          <cell r="U161">
            <v>87684</v>
          </cell>
          <cell r="V161">
            <v>219206</v>
          </cell>
        </row>
        <row r="162">
          <cell r="A162">
            <v>159</v>
          </cell>
          <cell r="B162" t="str">
            <v>010.000.1521.00</v>
          </cell>
          <cell r="E162" t="str">
            <v>Clormadinona. Tableta. Cada tableta contiene: Acetato de clormadinona 2 mg Envase con 10 Tabletas.</v>
          </cell>
          <cell r="U162">
            <v>21924</v>
          </cell>
          <cell r="V162">
            <v>54806</v>
          </cell>
        </row>
        <row r="163">
          <cell r="A163">
            <v>160</v>
          </cell>
          <cell r="B163" t="str">
            <v>010.000.1541.00</v>
          </cell>
          <cell r="E163" t="str">
            <v>Carbetocina. Solución Inyectable Cada ampolleta o frasco ámpula contiene: Carbetocina 100 µg. Envase con una ampolleta o frasco ámpula.</v>
          </cell>
          <cell r="U163">
            <v>192617</v>
          </cell>
          <cell r="V163">
            <v>481540</v>
          </cell>
        </row>
        <row r="164">
          <cell r="A164">
            <v>161</v>
          </cell>
          <cell r="B164" t="str">
            <v>010.000.1542.00</v>
          </cell>
          <cell r="E164" t="str">
            <v>Oxitocina. Solución Inyectable Cada ampolleta contiene: Oxitocina: 5 UI. Envase con 50 ampolletas con 1 ml.</v>
          </cell>
          <cell r="U164">
            <v>159085</v>
          </cell>
          <cell r="V164">
            <v>397710</v>
          </cell>
        </row>
        <row r="165">
          <cell r="A165">
            <v>162</v>
          </cell>
          <cell r="B165" t="str">
            <v>010.000.1545.00</v>
          </cell>
          <cell r="E165" t="str">
            <v>Atosibán. Solución Inyectable Cada frasco ámpula contiene: Atosibán 6.75 mg. Envase con 0.9 ml</v>
          </cell>
          <cell r="U165">
            <v>9848</v>
          </cell>
          <cell r="V165">
            <v>24618</v>
          </cell>
        </row>
        <row r="166">
          <cell r="A166">
            <v>163</v>
          </cell>
          <cell r="B166" t="str">
            <v>010.000.1546.00</v>
          </cell>
          <cell r="E166" t="str">
            <v>Atosibán. Solución Inyectable Cada frasco ámpula contiene: Atosibán 37.5 mg. Envase con 5.0 ml.</v>
          </cell>
          <cell r="U166">
            <v>24400</v>
          </cell>
          <cell r="V166">
            <v>60998</v>
          </cell>
        </row>
        <row r="167">
          <cell r="A167">
            <v>164</v>
          </cell>
          <cell r="B167" t="str">
            <v>010.000.1552.00</v>
          </cell>
          <cell r="E167" t="str">
            <v>ORCIPRENALINA TABLETA CADA TABLETA CONTIENE: SULFATO DE ORCIPRENALINA 20 MGENVASE CON 30 TABLETAS.</v>
          </cell>
          <cell r="U167">
            <v>10330</v>
          </cell>
          <cell r="V167">
            <v>25824</v>
          </cell>
        </row>
        <row r="168">
          <cell r="A168">
            <v>165</v>
          </cell>
          <cell r="B168" t="str">
            <v>010.000.1561.00</v>
          </cell>
          <cell r="E168" t="str">
            <v>Metronidazol. Óvulo o Tableta Vaginal Cada Óvulo o Tableta contiene: Metronidazol 500 mg Envase con 10 Óvulos o Tabletas.</v>
          </cell>
          <cell r="U168">
            <v>1358149</v>
          </cell>
          <cell r="V168">
            <v>3395372</v>
          </cell>
        </row>
        <row r="169">
          <cell r="A169">
            <v>166</v>
          </cell>
          <cell r="B169" t="str">
            <v>010.000.1562.00</v>
          </cell>
          <cell r="E169" t="str">
            <v>Nitrofural. Óvulo Cada Óvulo contiene: Nitrofural 6 mg Envase con 6 Óvulos.</v>
          </cell>
          <cell r="U169">
            <v>897460</v>
          </cell>
          <cell r="V169">
            <v>2243646</v>
          </cell>
        </row>
        <row r="170">
          <cell r="A170">
            <v>167</v>
          </cell>
          <cell r="B170" t="str">
            <v>010.000.1566.00</v>
          </cell>
          <cell r="E170" t="str">
            <v>Nistatina. Óvulo o Tableta Vaginal Cada Óvulo o Tableta contiene: Nistatina 100 000 UI Envase con 12 Óvulos o Tabletas.</v>
          </cell>
          <cell r="U170">
            <v>1510671</v>
          </cell>
          <cell r="V170">
            <v>3776674</v>
          </cell>
        </row>
        <row r="171">
          <cell r="A171">
            <v>168</v>
          </cell>
          <cell r="B171" t="str">
            <v>010.000.1591.00</v>
          </cell>
          <cell r="E171" t="str">
            <v>Inmunoglobulina anti d. Solución Inyectable Cada frasco ámpula o jeringa prellenada contiene: Inmunoglobulina anti D 0.300 mg Envase con un frasco ámpula con o sin diluyente o una jeringa o una ampolleta.</v>
          </cell>
          <cell r="U171">
            <v>31518</v>
          </cell>
          <cell r="V171">
            <v>78794</v>
          </cell>
        </row>
        <row r="172">
          <cell r="A172">
            <v>169</v>
          </cell>
          <cell r="B172" t="str">
            <v>010.000.1700.00</v>
          </cell>
          <cell r="E172" t="str">
            <v>Ácido fólico. Tableta. Cada tableta contiene: Acido fólico 4 mg Envase con 90 Tabletas.</v>
          </cell>
          <cell r="U172">
            <v>4509271</v>
          </cell>
          <cell r="V172">
            <v>11273175</v>
          </cell>
        </row>
        <row r="173">
          <cell r="A173">
            <v>170</v>
          </cell>
          <cell r="B173" t="str">
            <v>010.000.1701.00</v>
          </cell>
          <cell r="E173" t="str">
            <v>Fumarato ferroso. Tableta. Cada tableta contiene: Fumarato ferroso 200 mg equivalente a 65.74 mg de hierro elemental. Envase con 50 Tabletas.</v>
          </cell>
          <cell r="U173">
            <v>4688953</v>
          </cell>
          <cell r="V173">
            <v>11722382</v>
          </cell>
        </row>
        <row r="174">
          <cell r="A174">
            <v>171</v>
          </cell>
          <cell r="B174" t="str">
            <v>010.000.1702.00</v>
          </cell>
          <cell r="E174" t="str">
            <v>Fumarato ferroso. Suspensión Oral. Cada ml contiene: Fumarato ferroso 29 mg equivalente a 9.53 mg de hierro elemental. Envase con 120 ml.</v>
          </cell>
          <cell r="U174">
            <v>905831</v>
          </cell>
          <cell r="V174">
            <v>2264577</v>
          </cell>
        </row>
        <row r="175">
          <cell r="A175">
            <v>172</v>
          </cell>
          <cell r="B175" t="str">
            <v>010.000.1703.00</v>
          </cell>
          <cell r="E175" t="str">
            <v>Sulfato ferroso. Tableta Cada Tableta contiene: Sulfato ferroso desecado aproximadamente 200 mg equivalente a 60.27 mg de hierro elemental. Envase con 30 Tabletas.</v>
          </cell>
          <cell r="U175">
            <v>4586333</v>
          </cell>
          <cell r="V175">
            <v>11465830</v>
          </cell>
        </row>
        <row r="176">
          <cell r="A176">
            <v>173</v>
          </cell>
          <cell r="B176" t="str">
            <v>010.000.1704.00</v>
          </cell>
          <cell r="E176" t="str">
            <v>SULFATO FERROSOSOLUCIÓN
  Cada mL contiene:
  Sulfato ferroso heptahidratado 125 mg
  equivalente a 25 mg. de hierro
  elemental.
  Envase gotero con 15 mL.</v>
          </cell>
          <cell r="U176">
            <v>1794563</v>
          </cell>
          <cell r="V176">
            <v>4486406</v>
          </cell>
        </row>
        <row r="177">
          <cell r="A177">
            <v>174</v>
          </cell>
          <cell r="B177" t="str">
            <v>010.000.1705.00</v>
          </cell>
          <cell r="E177" t="str">
            <v>Hierro dextrán. Solución Inyectable Cada ampolleta contiene: Hierro en forma de hierro dextrán 100 mg Envase con 3 ampolletas de 2 ml.</v>
          </cell>
          <cell r="U177">
            <v>836707</v>
          </cell>
          <cell r="V177">
            <v>2091766</v>
          </cell>
        </row>
        <row r="178">
          <cell r="A178">
            <v>175</v>
          </cell>
          <cell r="B178" t="str">
            <v>010.000.1706.00</v>
          </cell>
          <cell r="E178" t="str">
            <v>ÁCIDO FÓLICO. TABLETA. CADA TABLETA CONTIENE: ÁCIDO FÓLICO 5 MG ENVASE CON 20 TABLETAS.</v>
          </cell>
          <cell r="U178">
            <v>1289040</v>
          </cell>
          <cell r="V178">
            <v>3222597</v>
          </cell>
        </row>
        <row r="179">
          <cell r="A179">
            <v>176</v>
          </cell>
          <cell r="B179" t="str">
            <v>010.000.1706.01</v>
          </cell>
          <cell r="E179" t="str">
            <v>Ácido fólico. Tableta. Cada tableta contiene: Ácido fólico 5 mg Envase con 92 Tabletas.</v>
          </cell>
          <cell r="U179">
            <v>2111320</v>
          </cell>
          <cell r="V179">
            <v>5278297</v>
          </cell>
        </row>
        <row r="180">
          <cell r="A180">
            <v>177</v>
          </cell>
          <cell r="B180" t="str">
            <v>010.000.1707.00</v>
          </cell>
          <cell r="E180" t="str">
            <v>Ácido folínico. Solución Inyectable Cada ampolleta o frasco ámpula contiene: Folinato cálcico equivalente a 3 mg de ácido folínico. Envase con 6 ampolletas o frascos ámpula con un ml</v>
          </cell>
          <cell r="U180">
            <v>8290</v>
          </cell>
          <cell r="V180">
            <v>20725</v>
          </cell>
        </row>
        <row r="181">
          <cell r="A181">
            <v>178</v>
          </cell>
          <cell r="B181" t="str">
            <v>010.000.1708.00</v>
          </cell>
          <cell r="E181" t="str">
            <v>Hidroxocobalamina. Solución Inyectable. Cada ampolleta o frasco ámpula con solución o liofilizado contiene: Hidroxocobalamina 100 µg. Envase con 3 ampolletas de 2 ml o frasco ámpula y diluyente.</v>
          </cell>
          <cell r="U181">
            <v>1307653</v>
          </cell>
          <cell r="V181">
            <v>3269129</v>
          </cell>
        </row>
        <row r="182">
          <cell r="A182">
            <v>179</v>
          </cell>
          <cell r="B182" t="str">
            <v>010.000.1711.00</v>
          </cell>
          <cell r="E182" t="str">
            <v>ÁCIDO FÓLICO. TABLETA. CADA TABLETA CONTIENE: ACIDO FÓLICO 0.4 MG ENVASE CON 90 TABLETAS.</v>
          </cell>
          <cell r="U182">
            <v>8826047</v>
          </cell>
          <cell r="V182">
            <v>22065116</v>
          </cell>
        </row>
        <row r="183">
          <cell r="A183">
            <v>180</v>
          </cell>
          <cell r="B183" t="str">
            <v>010.000.1712.00</v>
          </cell>
          <cell r="E183" t="str">
            <v>Hierro aminoquelado y ácido fólico. Tableta Cada Tableta contiene: Hierro aminoquelado equivalente a 30 mg de hierro elemental. Acido fólico 0.500 mg Envase con 30 Tabletas.</v>
          </cell>
          <cell r="U183">
            <v>95408</v>
          </cell>
          <cell r="V183">
            <v>238516</v>
          </cell>
        </row>
        <row r="184">
          <cell r="A184">
            <v>181</v>
          </cell>
          <cell r="B184" t="str">
            <v>010.000.1713.01</v>
          </cell>
          <cell r="E184" t="str">
            <v>HIERRO AMINOQUELADO Y ÁCIDO FÓLICO. SUSPENSIÓN ORAL. CADA 100 ML CONTIENEN: HIERRO AMINOQUELADO EQUIVALENTE A 600 MG DE HIERRO ELEMENTAL. ACIDO FÓLICO 10.0 MG ENVASE CON 100 ML Y VASITO DOSIFICADOR.</v>
          </cell>
          <cell r="U184">
            <v>4174</v>
          </cell>
          <cell r="V184">
            <v>10433</v>
          </cell>
        </row>
        <row r="185">
          <cell r="A185">
            <v>182</v>
          </cell>
          <cell r="B185" t="str">
            <v>010.000.1713.02</v>
          </cell>
          <cell r="E185" t="str">
            <v>HIERRO AMINOQUELADO Y ACIDO FOLICO. SUSPENSION ORAL. CADA 100 ML CONTIENEN: HIERRO AMINOQUELADO EQUIVALENTE A 600 MG DE HIERRO ELEMENTAL. ACIDO FOLICO 10.0 MGENVASE CON 120 ML Y VASITO DOSIFICADOR.</v>
          </cell>
          <cell r="U185">
            <v>4789</v>
          </cell>
          <cell r="V185">
            <v>11971</v>
          </cell>
        </row>
        <row r="186">
          <cell r="A186">
            <v>183</v>
          </cell>
          <cell r="B186" t="str">
            <v>010.000.1714.00</v>
          </cell>
          <cell r="E186" t="str">
            <v>Sacarato férrico. Solución Inyectable. La ampolleta contiene: Complejo de sacarato de óxido férrico equivalente a 100 mg de hierro elemental. Envase con 1 ampolleta de 5 ml.</v>
          </cell>
          <cell r="U186">
            <v>187134</v>
          </cell>
          <cell r="V186">
            <v>467833</v>
          </cell>
        </row>
        <row r="187">
          <cell r="A187">
            <v>184</v>
          </cell>
          <cell r="B187" t="str">
            <v>010.000.1732.01</v>
          </cell>
          <cell r="E187" t="str">
            <v>Fitomenadiona. Solución o Emulsión Inyectable Cada ampolleta contiene: Fitomenadiona 2 mg Envase con 5 ampolletas de 0.2 ml.</v>
          </cell>
          <cell r="U187">
            <v>50526</v>
          </cell>
          <cell r="V187">
            <v>126312</v>
          </cell>
        </row>
        <row r="188">
          <cell r="A188">
            <v>185</v>
          </cell>
          <cell r="B188" t="str">
            <v>010.000.1735.00</v>
          </cell>
          <cell r="E188" t="str">
            <v>ESTREPTOQUINASA. SOLUCIÓN INYECTABLE. CADA FRASCO ÁMPULA CON LIOFILIZADO CONTIENE: ESTREPTOQUINASA NATURAL O ESTREPTOQUINASA RECOMBINANTE 750 000 UI ENVASE CON UN FRASCO ÁMPULA.</v>
          </cell>
          <cell r="U188">
            <v>10114</v>
          </cell>
          <cell r="V188">
            <v>25285</v>
          </cell>
        </row>
        <row r="189">
          <cell r="A189">
            <v>186</v>
          </cell>
          <cell r="B189" t="str">
            <v>010.000.1736.00</v>
          </cell>
          <cell r="E189" t="str">
            <v>ESTREPTOQUINASA SOLUCION INYECTABLE CADA FRASCO AMPULA CON LIOFILIZADOCONTIENE: ESTREPTOQUINASA 1,500,000 UI ENVASE CON UN FRASCO AMPULA.</v>
          </cell>
          <cell r="U189">
            <v>1802</v>
          </cell>
          <cell r="V189">
            <v>4502</v>
          </cell>
        </row>
        <row r="190">
          <cell r="A190">
            <v>187</v>
          </cell>
          <cell r="B190" t="str">
            <v>010.000.1751.01</v>
          </cell>
          <cell r="E190" t="str">
            <v>CICLOFOSFAMIDA GRAGEA CADA GRAGEA CONTIENE: CICLOFOSFAMIDA MONOHIDRATADAEQUIVALENTE A 50 MG DE CICLOFOSFAMIDA ENVASE CON 50 GRAGEAS.</v>
          </cell>
          <cell r="U190">
            <v>7936</v>
          </cell>
          <cell r="V190">
            <v>19837</v>
          </cell>
        </row>
        <row r="191">
          <cell r="A191">
            <v>188</v>
          </cell>
          <cell r="B191" t="str">
            <v>010.000.1752.00</v>
          </cell>
          <cell r="E191" t="str">
            <v>Ciclofosfamida. Solución Inyectable Cada frasco ámpula con liofilizado o solución inyectable contiene: Ciclofosfamida monohidratada equivalente a 200 mg de ciclofosfamida. Envase con 5 frascos ámpula.</v>
          </cell>
          <cell r="U191">
            <v>13397</v>
          </cell>
          <cell r="V191">
            <v>33489</v>
          </cell>
        </row>
        <row r="192">
          <cell r="A192">
            <v>189</v>
          </cell>
          <cell r="B192" t="str">
            <v>010.000.1753.00</v>
          </cell>
          <cell r="E192" t="str">
            <v>Ciclofosfamida. Solución Inyectable. Cada frasco ámpula o vial con liofilizado contiene: Ciclofosfamida monohidratada equivalente a 500 mg de ciclofosfamida. Envase con 2 frascos ámpula o vial.</v>
          </cell>
          <cell r="U192">
            <v>27838</v>
          </cell>
          <cell r="V192">
            <v>69595</v>
          </cell>
        </row>
        <row r="193">
          <cell r="A193">
            <v>190</v>
          </cell>
          <cell r="B193" t="str">
            <v>010.000.1753.01</v>
          </cell>
          <cell r="E193" t="str">
            <v>CICLOFOSFAMIDA. SOLUCIÓN INYECTABLE. CADA FRASCO ÁMPULA O VIAL CON LIOFILIZADO CONTIENE: CICLOFOSFAMIDA MONOHIDRATADA EQUIVALENTE A 500 MG DE CICLOFOSFAMIDA. ENVASE CON 1 FRASCO ÁMPULA O VIAL.</v>
          </cell>
          <cell r="U193">
            <v>184</v>
          </cell>
          <cell r="V193">
            <v>456</v>
          </cell>
        </row>
        <row r="194">
          <cell r="A194">
            <v>191</v>
          </cell>
          <cell r="B194" t="str">
            <v>010.000.1758.00</v>
          </cell>
          <cell r="E194" t="str">
            <v>Carmustina. Solución Inyectable. Cada frasco ámpula con liofilizado contiene: Carmustina 100 mg Envase con un frasco ámpula y diluyente estéril (etanol absoluto) 3 ml.</v>
          </cell>
          <cell r="U194">
            <v>54</v>
          </cell>
          <cell r="V194">
            <v>132</v>
          </cell>
        </row>
        <row r="195">
          <cell r="A195">
            <v>192</v>
          </cell>
          <cell r="B195" t="str">
            <v>010.000.1759.00</v>
          </cell>
          <cell r="E195" t="str">
            <v>Metotrexato. Tableta Cada Tableta contiene: Metotrexato sódico equivalente a 2.5 mg de metotrexato Envase con 50 Tabletas.</v>
          </cell>
          <cell r="U195">
            <v>850852</v>
          </cell>
          <cell r="V195">
            <v>2127128</v>
          </cell>
        </row>
        <row r="196">
          <cell r="A196">
            <v>193</v>
          </cell>
          <cell r="B196" t="str">
            <v>010.000.1760.00</v>
          </cell>
          <cell r="E196" t="str">
            <v>METOTREXATO. SOLUCIÓN INYECTABLE Cada frasco ámpula con liofilizado o solución contiene: Metotrexato sódico equivalente a 50 mg de metotrexato. Envase con un frasco ámpula.</v>
          </cell>
          <cell r="U196">
            <v>58323</v>
          </cell>
          <cell r="V196">
            <v>145804</v>
          </cell>
        </row>
        <row r="197">
          <cell r="A197">
            <v>194</v>
          </cell>
          <cell r="B197" t="str">
            <v>010.000.1760.01</v>
          </cell>
          <cell r="E197" t="str">
            <v>METOTREXATO. SOLUCIÓN INYECTABLE Cada frasco ámpula con liofilizado o solución contiene: Metotrexato sódico equivalente a 50 mg de metotrexato. Envase con 10 frascos ámpula.</v>
          </cell>
          <cell r="U197">
            <v>24177</v>
          </cell>
          <cell r="V197">
            <v>60440</v>
          </cell>
        </row>
        <row r="198">
          <cell r="A198">
            <v>195</v>
          </cell>
          <cell r="B198" t="str">
            <v>010.000.1761.00</v>
          </cell>
          <cell r="E198" t="str">
            <v>MERCAPTOPURINA. TABLETA CADA TABLETA CONTIENE: MERCAPTOPURINA 50 MG ENVASE CON 20 TABLETAS</v>
          </cell>
          <cell r="U198">
            <v>57</v>
          </cell>
          <cell r="V198">
            <v>141</v>
          </cell>
        </row>
        <row r="199">
          <cell r="A199">
            <v>196</v>
          </cell>
          <cell r="B199" t="str">
            <v>010.000.1764.00</v>
          </cell>
          <cell r="E199" t="str">
            <v>DOXORRUBICINA. SOLUCIÓN INYECTABLE CADA FRASCO ÁMPULA CON LIOFILIZADO CONTIENE: CLORHIDRATO DE DOXORRUBICINA 10 MG ENVASE CON UN FRASCO ÁMPULA.</v>
          </cell>
          <cell r="U199">
            <v>13675</v>
          </cell>
          <cell r="V199">
            <v>34185</v>
          </cell>
        </row>
        <row r="200">
          <cell r="A200">
            <v>197</v>
          </cell>
          <cell r="B200" t="str">
            <v>010.000.1765.00</v>
          </cell>
          <cell r="E200" t="str">
            <v>Doxorrubicina. Solución Inyectable Cada frasco ámpula con liofilizado contiene: Clorhidrato de doxorrubicina 50 mg Envase con un frasco ámpula.</v>
          </cell>
          <cell r="U200">
            <v>28895</v>
          </cell>
          <cell r="V200">
            <v>72234</v>
          </cell>
        </row>
        <row r="201">
          <cell r="A201">
            <v>198</v>
          </cell>
          <cell r="B201" t="str">
            <v>010.000.1765.02</v>
          </cell>
          <cell r="E201" t="str">
            <v>DOXORRUBICINA. SOLUCIÓN INYECTABLE Cada frasco ámpula con solución inyectable contiene: clorhidrato de doxorrubicina 50 mg. Envase con 10 frascos ámpula.</v>
          </cell>
          <cell r="U201">
            <v>19572</v>
          </cell>
          <cell r="V201">
            <v>48927</v>
          </cell>
        </row>
        <row r="202">
          <cell r="A202">
            <v>199</v>
          </cell>
          <cell r="B202" t="str">
            <v>010.000.1766.00</v>
          </cell>
          <cell r="E202" t="str">
            <v>Doxorrubicina. Suspensión Inyectable Cada frasco ámpula contiene: Clorhidrato de doxorrubicina liposomal pegilada equivalente a 20 mg de doxorrubicina (2 mg/ml) Envase con un frasco ámpula con 10 ml (2 mg/ml).</v>
          </cell>
          <cell r="U202">
            <v>31474</v>
          </cell>
          <cell r="V202">
            <v>78683</v>
          </cell>
        </row>
        <row r="203">
          <cell r="A203">
            <v>200</v>
          </cell>
          <cell r="B203" t="str">
            <v>010.000.1767.00</v>
          </cell>
          <cell r="E203" t="str">
            <v>Bleomicina. Solución Inyectable Cada ampolleta o frasco ámpula con liofilizado contiene: Sulfato de bleomicina equivalente a 15 UI de bleomicina. Envase con una ampolleta o un frasco ámpula y diluyente de 5 ml.</v>
          </cell>
          <cell r="U203">
            <v>42644</v>
          </cell>
          <cell r="V203">
            <v>106608</v>
          </cell>
        </row>
        <row r="204">
          <cell r="A204">
            <v>201</v>
          </cell>
          <cell r="B204" t="str">
            <v>010.000.1767.01</v>
          </cell>
          <cell r="E204" t="str">
            <v>Bleomicina. Solución Inyectable Cada ampolleta o frasco ámpula con liofilizado contiene: Sulfato de bleomicina equivalente a 15 UI de bleomicina. Envase con una ampolleta o un frasco ámpula y diluyente de 10 ml.</v>
          </cell>
          <cell r="U204">
            <v>43</v>
          </cell>
          <cell r="V204">
            <v>105</v>
          </cell>
        </row>
        <row r="205">
          <cell r="A205">
            <v>202</v>
          </cell>
          <cell r="B205" t="str">
            <v>010.000.1768.00</v>
          </cell>
          <cell r="E205" t="str">
            <v>Vincristina. Solución Inyectable. Cada frasco ámpula con liofilizado contiene: Sulfato de Vincristina 1 mg. Envase con frasco ámpula y una ampolleta con 10 ml de diluyente.</v>
          </cell>
          <cell r="U205">
            <v>16009</v>
          </cell>
          <cell r="V205">
            <v>40020</v>
          </cell>
        </row>
        <row r="206">
          <cell r="A206">
            <v>203</v>
          </cell>
          <cell r="B206" t="str">
            <v>010.000.1768.02</v>
          </cell>
          <cell r="E206" t="str">
            <v>VINCRISTINA. SOLUCIÓN INYECTABLE. Cada frasco ámpula con solución inyectable contiene: Sulfato de vincristina 1 mg. Envase con 10 frascos ámpula.</v>
          </cell>
          <cell r="U206">
            <v>19060</v>
          </cell>
          <cell r="V206">
            <v>47647</v>
          </cell>
        </row>
        <row r="207">
          <cell r="A207">
            <v>204</v>
          </cell>
          <cell r="B207" t="str">
            <v>010.000.1768.03</v>
          </cell>
          <cell r="E207" t="str">
            <v>VINCRISTINA. SOLUCIÓN INYECTABLE. Cada frasco ámpula liofilizado contiene: sulfato de vincristina 1 mg de liofilizado sin diluyente. Envase con 1 frascos ámpula.</v>
          </cell>
          <cell r="U207">
            <v>4</v>
          </cell>
          <cell r="V207">
            <v>10</v>
          </cell>
        </row>
        <row r="208">
          <cell r="A208">
            <v>205</v>
          </cell>
          <cell r="B208" t="str">
            <v>010.000.1770.00</v>
          </cell>
          <cell r="E208" t="str">
            <v>VINBLASTINA. SOLUCIÓN INYECTABLE. CADA FRASCO ÁMPULA CON LIOFILIZADO CONTIENE: SULFATO DE VINBLASTINA 10 MG. ENVASE CON UN FRASCO ÁMPULA CON O SIN DILUYENTE DE 10 ML.</v>
          </cell>
          <cell r="U208">
            <v>2393</v>
          </cell>
          <cell r="V208">
            <v>5981</v>
          </cell>
        </row>
        <row r="209">
          <cell r="A209">
            <v>206</v>
          </cell>
          <cell r="B209" t="str">
            <v>010.000.1771.00</v>
          </cell>
          <cell r="E209" t="str">
            <v>PROCARBAZINA CAPSULA O COMPRIMIDO CADA CAPSULA O COMPRIMIDO CONTIENE:CLORHIDRATO DE PROCARBAZINAEQUIVALENTE A 50 MG DE PROCARBAZINA. ENVASE CON 50CAPSULAS O COMPRIMIDOS.</v>
          </cell>
          <cell r="U209">
            <v>497</v>
          </cell>
          <cell r="V209">
            <v>1241</v>
          </cell>
        </row>
        <row r="210">
          <cell r="A210">
            <v>207</v>
          </cell>
          <cell r="B210" t="str">
            <v>010.000.1773.00</v>
          </cell>
          <cell r="E210" t="str">
            <v>Epirubicina. Solución Inyectable Cada envase contiene: Clorhidrato de epirubicina 10 mg Envase con un frasco ámpula con liofilizado o envase con un frasco ámpula con 5 ml de Solución (10 mg/5 ml).</v>
          </cell>
          <cell r="U210">
            <v>30968</v>
          </cell>
          <cell r="V210">
            <v>77420</v>
          </cell>
        </row>
        <row r="211">
          <cell r="A211">
            <v>208</v>
          </cell>
          <cell r="B211" t="str">
            <v>010.000.1774.00</v>
          </cell>
          <cell r="E211" t="str">
            <v>Epirubicina. Solución Inyectable Cada envase contiene: Clorhidrato de epirubicina 50 mg Envase con un frasco ámpula con liofilizado o envase con un frasco ámpula con 25 ml de Solución (50 mg/25 ml).</v>
          </cell>
          <cell r="U211">
            <v>51036</v>
          </cell>
          <cell r="V211">
            <v>127589</v>
          </cell>
        </row>
        <row r="212">
          <cell r="A212">
            <v>209</v>
          </cell>
          <cell r="B212" t="str">
            <v>010.000.1775.00</v>
          </cell>
          <cell r="E212" t="str">
            <v>CITARABINA. SOLUCIÓN INYECTABLE CADA FRASCO ÁMPULA O FRASCO ÁMPULA CON LIOFILIZADO CONTIENE: CITARABINA 500 MG ENVASE CON UN FRASCO ÁMPULA O CON UN FRASCO ÁMPULA CON LIOFILIZADO.</v>
          </cell>
          <cell r="U212">
            <v>38850</v>
          </cell>
          <cell r="V212">
            <v>97123</v>
          </cell>
        </row>
        <row r="213">
          <cell r="A213">
            <v>210</v>
          </cell>
          <cell r="B213" t="str">
            <v>010.000.1776.00</v>
          </cell>
          <cell r="E213" t="str">
            <v>Metotrexato. Solución Inyectable Cada frasco ámpula con liofilizado contiene: Metotrexato sódico equivalente a 500 mg de metotrexato Envase con un frasco ámpula.</v>
          </cell>
          <cell r="U213">
            <v>39168</v>
          </cell>
          <cell r="V213">
            <v>97919</v>
          </cell>
        </row>
        <row r="214">
          <cell r="A214">
            <v>211</v>
          </cell>
          <cell r="B214" t="str">
            <v>010.000.1903.00</v>
          </cell>
          <cell r="E214" t="str">
            <v>Trimetoprima-sulfametoxazol. Comprimido o Tableta Cada Comprimido o Tableta contiene: Trimetoprima 80 mg Sulfametoxazol 400 mg Envase con 20 Comprimidos o Tabletas.</v>
          </cell>
          <cell r="U214">
            <v>4201129</v>
          </cell>
          <cell r="V214">
            <v>10502820</v>
          </cell>
        </row>
        <row r="215">
          <cell r="A215">
            <v>212</v>
          </cell>
          <cell r="B215" t="str">
            <v>010.000.1904.00</v>
          </cell>
          <cell r="E215" t="str">
            <v>Trimetoprima-sulfametoxazol. Suspensión Oral Cada 5 ml contienen: Trimetoprima 40 mg Sulfametoxazol 200 mg Envase con 120 ml y dosificador.</v>
          </cell>
          <cell r="U215">
            <v>1356425</v>
          </cell>
          <cell r="V215">
            <v>3391059</v>
          </cell>
        </row>
        <row r="216">
          <cell r="A216">
            <v>213</v>
          </cell>
          <cell r="B216" t="str">
            <v>010.000.1911.00</v>
          </cell>
          <cell r="E216" t="str">
            <v>Nitrofurantoína. Cápsula Cada Cápsula contiene: Nitrofurantoína 100 mg Envase con 40 Cápsulas.</v>
          </cell>
          <cell r="U216">
            <v>3008752</v>
          </cell>
          <cell r="V216">
            <v>7521878</v>
          </cell>
        </row>
        <row r="217">
          <cell r="A217">
            <v>214</v>
          </cell>
          <cell r="B217" t="str">
            <v>010.000.1923.00</v>
          </cell>
          <cell r="E217" t="str">
            <v>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v>
          </cell>
          <cell r="U217">
            <v>1350252</v>
          </cell>
          <cell r="V217">
            <v>3375628</v>
          </cell>
        </row>
        <row r="218">
          <cell r="A218">
            <v>215</v>
          </cell>
          <cell r="B218" t="str">
            <v>010.000.1924.00</v>
          </cell>
          <cell r="E218" t="str">
            <v>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v>
          </cell>
          <cell r="U218">
            <v>3066166</v>
          </cell>
          <cell r="V218">
            <v>7665414</v>
          </cell>
        </row>
        <row r="219">
          <cell r="A219">
            <v>216</v>
          </cell>
          <cell r="B219" t="str">
            <v>010.000.1926.00</v>
          </cell>
          <cell r="E219" t="str">
            <v>Dicloxacilina. Cápsula o comprimido. Cada cápsula o comprimido contiene: Dicloxacilina sódica 500 mg Envase con 20 Cápsulas o Comprimidos.</v>
          </cell>
          <cell r="U219">
            <v>3484790</v>
          </cell>
          <cell r="V219">
            <v>8711974</v>
          </cell>
        </row>
        <row r="220">
          <cell r="A220">
            <v>217</v>
          </cell>
          <cell r="B220" t="str">
            <v>010.000.1927.00</v>
          </cell>
          <cell r="E220" t="str">
            <v>Dicloxacilina. Suspensión Oral. Cada 5 ml contienen: Dicloxacilina sódica 250 mg Envase con polvo para 60 ml y dosificador.</v>
          </cell>
          <cell r="U220">
            <v>971190</v>
          </cell>
          <cell r="V220">
            <v>2427974</v>
          </cell>
        </row>
        <row r="221">
          <cell r="A221">
            <v>218</v>
          </cell>
          <cell r="B221" t="str">
            <v>010.000.1928.00</v>
          </cell>
          <cell r="E221" t="str">
            <v>Dicloxacilina. Solución Inyectable. Cada frasco ámpula con polvo contiene: Dicloxacilina sódica equivalente a 250 mg de dicloxacilina. Envase frasco ámpula y 5 ml de diluyente.</v>
          </cell>
          <cell r="U221">
            <v>382480</v>
          </cell>
          <cell r="V221">
            <v>956200</v>
          </cell>
        </row>
        <row r="222">
          <cell r="A222">
            <v>219</v>
          </cell>
          <cell r="B222" t="str">
            <v>010.000.1929.00</v>
          </cell>
          <cell r="E222" t="str">
            <v>AMPICILINA TABLETA O CAPSULA CADA TABLETA O CAPSULA CONTIENE: AMPICILINAANHIDRA O AMPICILINA TRIHIDRATADA EQUIVALENTE A 500 MG DE AMPICILINA. ENVASECON 20 TABLETAS O CAPSULAS.</v>
          </cell>
          <cell r="U222">
            <v>1556535</v>
          </cell>
          <cell r="V222">
            <v>3891335</v>
          </cell>
        </row>
        <row r="223">
          <cell r="A223">
            <v>220</v>
          </cell>
          <cell r="B223" t="str">
            <v>010.000.1930.00</v>
          </cell>
          <cell r="E223" t="str">
            <v>AMPICILINA SUSPENSION ORAL CADA 5 ML CONTIENEN: AMPICILINA TRIHIDRATADAEQUIVALENTE A 250 MG DE AMPICILINA. ENVASE CON POLVO PARA 60 ML Y DOSIFICADOR.</v>
          </cell>
          <cell r="U223">
            <v>638619</v>
          </cell>
          <cell r="V223">
            <v>1596544</v>
          </cell>
        </row>
        <row r="224">
          <cell r="A224">
            <v>221</v>
          </cell>
          <cell r="B224" t="str">
            <v>010.000.1933.00</v>
          </cell>
          <cell r="E224" t="str">
            <v>Bencilpenicilina sódica cristalina. Solución Inyectable Cada frasco ámpula con polvo contiene: Bencilpenicilina sódica cristalina equivalente a 5 000 000 UI de bencilpenicilina. Envase con un frasco ámpula.</v>
          </cell>
          <cell r="U224">
            <v>233367</v>
          </cell>
          <cell r="V224">
            <v>583416</v>
          </cell>
        </row>
        <row r="225">
          <cell r="A225">
            <v>222</v>
          </cell>
          <cell r="B225" t="str">
            <v>010.000.1935.00</v>
          </cell>
          <cell r="E225" t="str">
            <v>Cefotaxima. Solución Inyectable. Cada frasco ámpula con polvo contiene: Cefotaxima sódica equivalente a 1 g de cefotaxima. Envase con un frasco ámpula y 4 ml de diluyente.</v>
          </cell>
          <cell r="U225">
            <v>4637870</v>
          </cell>
          <cell r="V225">
            <v>11594674</v>
          </cell>
        </row>
        <row r="226">
          <cell r="A226">
            <v>223</v>
          </cell>
          <cell r="B226" t="str">
            <v>010.000.1937.00</v>
          </cell>
          <cell r="E226" t="str">
            <v>Ceftriaxona. Solución Inyectable. Cada frasco ámpula con polvo contiene: Ceftriaxona sódica equivalente a 1 g de ceftriaxona. Envase con un frasco ámpula y 10 ml de diluyente.</v>
          </cell>
          <cell r="U226">
            <v>11670732</v>
          </cell>
          <cell r="V226">
            <v>29176828</v>
          </cell>
        </row>
        <row r="227">
          <cell r="A227">
            <v>224</v>
          </cell>
          <cell r="B227" t="str">
            <v>010.000.1938.00</v>
          </cell>
          <cell r="E227" t="str">
            <v>BENCILPENICILINA BENZATINICA COMPUESTA SUSPENSION INYECTABLE CADA FRASCO AMPULACON POLVO CONTIENE: BENZATINA BENCILPENICILINA EQUIVALENTE A 600 000 UI DEBENCILPENICILINA BENCILPENICILINA PROCAINICA EQUIVALENTE A 300 000 UI DEBENCILPENICILINA BENCILPENICILINA CRISTALINA EQUIVALENTE A 300 000 UI DEBENCILPENICILINA ENVASE CON UN FRASCO AMPULA Y DILUYENTE CON 3 ML.</v>
          </cell>
          <cell r="U227">
            <v>97788</v>
          </cell>
          <cell r="V227">
            <v>244467</v>
          </cell>
        </row>
        <row r="228">
          <cell r="A228">
            <v>225</v>
          </cell>
          <cell r="B228" t="str">
            <v>010.000.1939.00</v>
          </cell>
          <cell r="E228" t="str">
            <v>Cefalexina. Tableta o Cápsula. Cada tableta o cápsula contiene: Cefalexina monohidratada equivalente a 500 mg de cefalexina. Envase con 20 Tabletas o Cápsulas.</v>
          </cell>
          <cell r="U228">
            <v>1772511</v>
          </cell>
          <cell r="V228">
            <v>4431276</v>
          </cell>
        </row>
        <row r="229">
          <cell r="A229">
            <v>226</v>
          </cell>
          <cell r="B229" t="str">
            <v>010.000.1940.00</v>
          </cell>
          <cell r="E229" t="str">
            <v>Doxiciclina. Cápsula o Tableta Cada Cápsula o Tableta contiene: Hiclato de doxiciclina equivalente a 100 mg de doxicilina. Envase con 10 Cápsulas o Tabletas.</v>
          </cell>
          <cell r="U229">
            <v>671271</v>
          </cell>
          <cell r="V229">
            <v>1678176</v>
          </cell>
        </row>
        <row r="230">
          <cell r="A230">
            <v>227</v>
          </cell>
          <cell r="B230" t="str">
            <v>010.000.1941.00</v>
          </cell>
          <cell r="E230" t="str">
            <v>DOXICICLINA. CÁPSULA O TABLETA CADA CÁPSULA O TABLETA CONTIENE: HICLATO DE DOXICICLINA EQUIVALENTE A 50 MG DE DOXICILINA. ENVASE CON 28 CÁPSULAS O TABLETAS.</v>
          </cell>
          <cell r="U230">
            <v>151128</v>
          </cell>
          <cell r="V230">
            <v>377816</v>
          </cell>
        </row>
        <row r="231">
          <cell r="A231">
            <v>228</v>
          </cell>
          <cell r="B231" t="str">
            <v>010.000.1954.00</v>
          </cell>
          <cell r="E231" t="str">
            <v>Gentamicina. Solución Inyectable. Cada ampolleta contiene: Sulfato de gentamicina equivalente a 80 mg de gentamicina. Envase con ampolleta con 2 ml.</v>
          </cell>
          <cell r="U231">
            <v>569515</v>
          </cell>
          <cell r="V231">
            <v>1423785</v>
          </cell>
        </row>
        <row r="232">
          <cell r="A232">
            <v>229</v>
          </cell>
          <cell r="B232" t="str">
            <v>010.000.1955.00</v>
          </cell>
          <cell r="E232" t="str">
            <v>Gentamicina. Solución Inyectable. Cada ampolleta contiene: Sulfato de gentamicina equivalente a 20 mg de gentamicina base. Envase con ampolleta con 2 ml.</v>
          </cell>
          <cell r="U232">
            <v>189311</v>
          </cell>
          <cell r="V232">
            <v>473275</v>
          </cell>
        </row>
        <row r="233">
          <cell r="A233">
            <v>230</v>
          </cell>
          <cell r="B233" t="str">
            <v>010.000.1956.00</v>
          </cell>
          <cell r="E233" t="str">
            <v>AMIKACINA. SOLUCIÓN INYECTABLE. CADA AMPOLLETA O FRASCO ÁMPULA CONTIENE: SULFATO DE AMIKACINA EQUIVALENTE A 500 MG DE AMIKACINA. ENVASE CON 1 AMPOLLETA O FRASCO ÁMPULA CON 2 ML.</v>
          </cell>
          <cell r="U233">
            <v>229875</v>
          </cell>
          <cell r="V233">
            <v>574686</v>
          </cell>
        </row>
        <row r="234">
          <cell r="A234">
            <v>231</v>
          </cell>
          <cell r="B234" t="str">
            <v>010.000.1956.01</v>
          </cell>
          <cell r="E234" t="str">
            <v>Amikacina. Solución Inyectable Cada ampolleta o frasco ámpula contiene: Sulfato de amikacina equivalente a 500 mg de amikacina. Envase con 2 ampolletas o frasco ámpula con 2 ml.</v>
          </cell>
          <cell r="U234">
            <v>1264151</v>
          </cell>
          <cell r="V234">
            <v>3160375</v>
          </cell>
        </row>
        <row r="235">
          <cell r="A235">
            <v>232</v>
          </cell>
          <cell r="B235" t="str">
            <v>010.000.1957.00</v>
          </cell>
          <cell r="E235" t="str">
            <v>Amikacina. Solución Inyectable Cada ampolleta o frasco ámpula contiene: Sulfato de amikacina equivalente a 100 mg de amikacina. Envase con 1 ampolleta o frasco ámpula con 2 ml.</v>
          </cell>
          <cell r="U235">
            <v>496096</v>
          </cell>
          <cell r="V235">
            <v>1240236</v>
          </cell>
        </row>
        <row r="236">
          <cell r="A236">
            <v>233</v>
          </cell>
          <cell r="B236" t="str">
            <v>010.000.1969.00</v>
          </cell>
          <cell r="E236" t="str">
            <v>Azitromicina. Tableta Cada Tableta contiene: Azitromicina dihidratada equivalente a 500 mg de azitromicina Envase con 3 Tabletas.</v>
          </cell>
          <cell r="U236">
            <v>481972</v>
          </cell>
          <cell r="V236">
            <v>1204928</v>
          </cell>
        </row>
        <row r="237">
          <cell r="A237">
            <v>234</v>
          </cell>
          <cell r="B237" t="str">
            <v>010.000.1969.01</v>
          </cell>
          <cell r="E237" t="str">
            <v>Azitromicina. Tableta Cada Tableta contiene: Azitromicina dihidratada equivalente a 500 mg de azitromicina Envase con 4 Tabletas.</v>
          </cell>
          <cell r="U237">
            <v>33196</v>
          </cell>
          <cell r="V237">
            <v>82990</v>
          </cell>
        </row>
        <row r="238">
          <cell r="A238">
            <v>235</v>
          </cell>
          <cell r="B238" t="str">
            <v>010.000.1971.00</v>
          </cell>
          <cell r="E238" t="str">
            <v>ERITROMICINA. CÁPSULA O TABLETA CADA CÁPSULA O TABLETA CONTIENE: ESTEARATO DE ERITROMICINA EQUIVALENTE A 500 MG DE ERITROMICINA. ENVASE CON 20 CÁPSULAS O TABLETAS.</v>
          </cell>
          <cell r="U238">
            <v>1207329</v>
          </cell>
          <cell r="V238">
            <v>3018321</v>
          </cell>
        </row>
        <row r="239">
          <cell r="A239">
            <v>236</v>
          </cell>
          <cell r="B239" t="str">
            <v>010.000.1972.00</v>
          </cell>
          <cell r="E239" t="str">
            <v>ERITROMICINA. SUSPENSIÓN ORAL CADA 5 ML CONTIENEN: ESTEARATO O ETILSUCCINATO O ESTOLATO DE ERITROMICINA EQUIVALENTE A 250 MG DE ERITROMICINA. ENVASE CON POLVO PARA 100 ML Y DOSIFICADOR.</v>
          </cell>
          <cell r="U239">
            <v>740633</v>
          </cell>
          <cell r="V239">
            <v>1851582</v>
          </cell>
        </row>
        <row r="240">
          <cell r="A240">
            <v>237</v>
          </cell>
          <cell r="B240" t="str">
            <v>010.000.1973.00</v>
          </cell>
          <cell r="E240" t="str">
            <v>Clindamicina. Solución Inyectable Cada ampolleta contiene: Fosfato de clindamicina equivalente a 300 mg de clindamicina. Envase ampolleta con 2 ml.</v>
          </cell>
          <cell r="U240">
            <v>6155820</v>
          </cell>
          <cell r="V240">
            <v>15389547</v>
          </cell>
        </row>
        <row r="241">
          <cell r="A241">
            <v>238</v>
          </cell>
          <cell r="B241" t="str">
            <v>010.000.1976.00</v>
          </cell>
          <cell r="E241" t="str">
            <v>Clindamicina. Solución Inyectable Cada frasco contiene: Fosfato de clindamicina equivalente a 900 mg de clindamicina. Envase con 50 ml.</v>
          </cell>
          <cell r="U241">
            <v>172275</v>
          </cell>
          <cell r="V241">
            <v>430686</v>
          </cell>
        </row>
        <row r="242">
          <cell r="A242">
            <v>239</v>
          </cell>
          <cell r="B242" t="str">
            <v>010.000.2012.00</v>
          </cell>
          <cell r="E242" t="str">
            <v>Amfotericina B o Anfotericina B. Solución Inyectable. Cada frasco ámpula con polvo contiene: Amfotericina B o Anfotericina B 50 mg. Envase con un frasco ámpula.</v>
          </cell>
          <cell r="U242">
            <v>43486</v>
          </cell>
          <cell r="V242">
            <v>108713</v>
          </cell>
        </row>
        <row r="243">
          <cell r="A243">
            <v>240</v>
          </cell>
          <cell r="B243" t="str">
            <v>010.000.2016.00</v>
          </cell>
          <cell r="E243" t="str">
            <v>KETOCONAZOL. TABLETA CADA TABLETA CONTIENE: KETOCONAZOL 200 MG ENVASE CON 10 TABLETAS.</v>
          </cell>
          <cell r="U243">
            <v>1011942</v>
          </cell>
          <cell r="V243">
            <v>2529851</v>
          </cell>
        </row>
        <row r="244">
          <cell r="A244">
            <v>241</v>
          </cell>
          <cell r="B244" t="str">
            <v>010.000.2018.00</v>
          </cell>
          <cell r="E244" t="str">
            <v>Itraconazol. Cápsula Cada Cápsula contiene: Itraconazol 100 mg Envase con 15 Cápsulas.</v>
          </cell>
          <cell r="U244">
            <v>2563692</v>
          </cell>
          <cell r="V244">
            <v>6409228</v>
          </cell>
        </row>
        <row r="245">
          <cell r="A245">
            <v>242</v>
          </cell>
          <cell r="B245" t="str">
            <v>010.000.2024.00</v>
          </cell>
          <cell r="E245" t="str">
            <v>ISOCONAZOL. CREMA 
  Cada 100 gramos contiene: 
  Nitrato de Isoconazol 1 g. 
  Envase con 20 g.</v>
          </cell>
          <cell r="U245">
            <v>353662</v>
          </cell>
          <cell r="V245">
            <v>884154</v>
          </cell>
        </row>
        <row r="246">
          <cell r="A246">
            <v>243</v>
          </cell>
          <cell r="B246" t="str">
            <v>010.000.2031.00</v>
          </cell>
          <cell r="E246" t="str">
            <v>PRIMAQUINA. TABLETA CADA TABLETA CONTIENE: FOSFATO DE PRIMAQUINA EQUIVALENTE A 5 MG DE PRIMAQUINA. ENVASE CON 20 TABLETAS.</v>
          </cell>
          <cell r="U246">
            <v>2453</v>
          </cell>
          <cell r="V246">
            <v>6131</v>
          </cell>
        </row>
        <row r="247">
          <cell r="A247">
            <v>244</v>
          </cell>
          <cell r="B247" t="str">
            <v>010.000.2032.00</v>
          </cell>
          <cell r="E247" t="str">
            <v>PRIMAQUINA. TABLETA CADA TABLETA CONTIENE: FOSFATO DE PRIMAQUINA EQUIVALENTE A 15 MG DE PRIMAQUINA. ENVASE CON 20 TABLETAS.</v>
          </cell>
          <cell r="U247">
            <v>17176</v>
          </cell>
          <cell r="V247">
            <v>42939</v>
          </cell>
        </row>
        <row r="248">
          <cell r="A248">
            <v>245</v>
          </cell>
          <cell r="B248" t="str">
            <v>010.000.2034.00</v>
          </cell>
          <cell r="E248" t="str">
            <v>QUININA. TABLETA CADA TABLETA CONTIENE: SULFATO DE QUININA 300 MG ENVASE CON 30TABLETAS.</v>
          </cell>
          <cell r="U248">
            <v>1038</v>
          </cell>
          <cell r="V248">
            <v>2592</v>
          </cell>
        </row>
        <row r="249">
          <cell r="A249">
            <v>246</v>
          </cell>
          <cell r="B249" t="str">
            <v>010.000.2042.00</v>
          </cell>
          <cell r="E249" t="str">
            <v>TINIDAZOL. TABLETA CADA TABLETA CONTIENE: TINIDAZOL 500 MG ENVASE CON 8 TABLETAS.</v>
          </cell>
          <cell r="U249">
            <v>68893</v>
          </cell>
          <cell r="V249">
            <v>172231</v>
          </cell>
        </row>
        <row r="250">
          <cell r="A250">
            <v>247</v>
          </cell>
          <cell r="B250" t="str">
            <v>010.000.2101.00</v>
          </cell>
          <cell r="E250" t="str">
            <v>Clonidina. Comprimido. Cada comprimido contiene: Clorhidrato de clonidina 0.1 mg Envase con 30 Comprimidos.</v>
          </cell>
          <cell r="U250">
            <v>87</v>
          </cell>
          <cell r="V250">
            <v>214</v>
          </cell>
        </row>
        <row r="251">
          <cell r="A251">
            <v>248</v>
          </cell>
          <cell r="B251" t="str">
            <v>010.000.2111.00</v>
          </cell>
          <cell r="E251" t="str">
            <v>Amlodipino. Tableta o Cápsula. Cada tableta o cápsula contiene: Besilato o Maleato de amlodipino equivalente a 5 mg de amlodipino. Envase con 10 tabletas o cápsulas.</v>
          </cell>
          <cell r="U251">
            <v>1546</v>
          </cell>
          <cell r="V251">
            <v>3863</v>
          </cell>
        </row>
        <row r="252">
          <cell r="A252">
            <v>249</v>
          </cell>
          <cell r="B252" t="str">
            <v>010.000.2111.01</v>
          </cell>
          <cell r="E252" t="str">
            <v>Amlodipino. Tableta o Cápsula Cada Tableta o Cápsula contiene: Besilato o Maleato de amlodipino equivalente a 5 mg de amlodipino. Envase con 30 Tabletas o Cápsulas.</v>
          </cell>
          <cell r="U252">
            <v>11945959</v>
          </cell>
          <cell r="V252">
            <v>29864896</v>
          </cell>
        </row>
        <row r="253">
          <cell r="A253">
            <v>250</v>
          </cell>
          <cell r="B253" t="str">
            <v>010.000.2112.00</v>
          </cell>
          <cell r="E253" t="str">
            <v>Diltiazem. Tableta o gragea. Cada tableta contiene: Clorhidrato de diltiazem 30 mg. Envase con 30 tabletas o grageas.</v>
          </cell>
          <cell r="U253">
            <v>271560</v>
          </cell>
          <cell r="V253">
            <v>678896</v>
          </cell>
        </row>
        <row r="254">
          <cell r="A254">
            <v>251</v>
          </cell>
          <cell r="B254" t="str">
            <v>010.000.2117.00</v>
          </cell>
          <cell r="E254" t="str">
            <v>Propranolol. Solución Inyectable Cada ampolleta contiene: Clorhidrato de propranolol 1 mg Envase con una ampolleta con 1 ml.</v>
          </cell>
          <cell r="U254">
            <v>35</v>
          </cell>
          <cell r="V254">
            <v>84</v>
          </cell>
        </row>
        <row r="255">
          <cell r="A255">
            <v>252</v>
          </cell>
          <cell r="B255" t="str">
            <v>010.000.2118.00</v>
          </cell>
          <cell r="E255" t="str">
            <v>Aceite de almendras dulces. Crema Aceite de almendras dulces e hidróxido de calcio. Envase con 240 ml.</v>
          </cell>
          <cell r="U255">
            <v>269904</v>
          </cell>
          <cell r="V255">
            <v>674758</v>
          </cell>
        </row>
        <row r="256">
          <cell r="A256">
            <v>253</v>
          </cell>
          <cell r="B256" t="str">
            <v>010.000.2119.00</v>
          </cell>
          <cell r="E256" t="str">
            <v>Betametasona. Ungüento Cada 100 gramos contiene: Dipropionato de betametasona 64 mg equivalente a 50 mg de betametasona. Envase con 30 g.</v>
          </cell>
          <cell r="U256">
            <v>193516</v>
          </cell>
          <cell r="V256">
            <v>483788</v>
          </cell>
        </row>
        <row r="257">
          <cell r="A257">
            <v>254</v>
          </cell>
          <cell r="B257" t="str">
            <v>010.000.2120.00</v>
          </cell>
          <cell r="E257" t="str">
            <v>HIGROPLEX. CREMA HIGROPLEX (COMPLEJO HUMECTANTE). ENVASE CON 80 G.</v>
          </cell>
          <cell r="U257">
            <v>3</v>
          </cell>
          <cell r="V257">
            <v>5</v>
          </cell>
        </row>
        <row r="258">
          <cell r="A258">
            <v>255</v>
          </cell>
          <cell r="B258" t="str">
            <v>010.000.2123.00</v>
          </cell>
          <cell r="E258" t="str">
            <v>Mupirocina. Ungüento Cada 100 gramos contiene: Mupirocina 2 g Envase con 15 g.</v>
          </cell>
          <cell r="U258">
            <v>383141</v>
          </cell>
          <cell r="V258">
            <v>957851</v>
          </cell>
        </row>
        <row r="259">
          <cell r="A259">
            <v>256</v>
          </cell>
          <cell r="B259" t="str">
            <v>010.000.2125.00</v>
          </cell>
          <cell r="E259" t="str">
            <v>Glucagon. Solución Inyectable Cada ampolleta contiene: Glucagon 1 mg Envase con una ampolleta.</v>
          </cell>
          <cell r="U259">
            <v>2</v>
          </cell>
          <cell r="V259">
            <v>2</v>
          </cell>
        </row>
        <row r="260">
          <cell r="A260">
            <v>257</v>
          </cell>
          <cell r="B260" t="str">
            <v>010.000.2126.00</v>
          </cell>
          <cell r="E260" t="str">
            <v>Aciclovir. Comprimido o Tableta Cada Comprimido o Tableta contiene: Aciclovir 400 mg Envase con 35 Comprimidos o Tabletas.</v>
          </cell>
          <cell r="U260">
            <v>433609</v>
          </cell>
          <cell r="V260">
            <v>1084020</v>
          </cell>
        </row>
        <row r="261">
          <cell r="A261">
            <v>258</v>
          </cell>
          <cell r="B261" t="str">
            <v>010.000.2127.00</v>
          </cell>
          <cell r="E261" t="str">
            <v>Amoxicilina. Suspensión Oral Cada frasco con polvo contiene: Amoxicilina trihidratada equivalente a 7.5 g de amoxicilina. Envase con polvo para 75 ml (500 mg/5 ml).</v>
          </cell>
          <cell r="U261">
            <v>1794654</v>
          </cell>
          <cell r="V261">
            <v>4486633</v>
          </cell>
        </row>
        <row r="262">
          <cell r="A262">
            <v>259</v>
          </cell>
          <cell r="B262" t="str">
            <v>010.000.2128.00</v>
          </cell>
          <cell r="E262" t="str">
            <v>Amoxicilina. Cápsula Cada Cápsula contiene: Amoxicilina trihidratada equivalente a 500 mg de amoxicilina. Envase con 12 Cápsulas.</v>
          </cell>
          <cell r="U262">
            <v>608424</v>
          </cell>
          <cell r="V262">
            <v>1521057</v>
          </cell>
        </row>
        <row r="263">
          <cell r="A263">
            <v>260</v>
          </cell>
          <cell r="B263" t="str">
            <v>010.000.2128.01</v>
          </cell>
          <cell r="E263" t="str">
            <v>Amoxicilina. Cápsula Cada Cápsula contiene: Amoxicilina trihidratada equivalente a 500 mg de amoxicilina. Envase con 15 Cápsulas.</v>
          </cell>
          <cell r="U263">
            <v>4682434</v>
          </cell>
          <cell r="V263">
            <v>11706083</v>
          </cell>
        </row>
        <row r="264">
          <cell r="A264">
            <v>261</v>
          </cell>
          <cell r="B264" t="str">
            <v>010.000.2129.00</v>
          </cell>
          <cell r="E264" t="str">
            <v>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v>
          </cell>
          <cell r="U264">
            <v>2747825</v>
          </cell>
          <cell r="V264">
            <v>6869560</v>
          </cell>
        </row>
        <row r="265">
          <cell r="A265">
            <v>262</v>
          </cell>
          <cell r="B265" t="str">
            <v>010.000.2130.00</v>
          </cell>
          <cell r="E265" t="str">
            <v>Amoxicilina acido clavulánico. Solución Inyectable Cada frasco ámpula con polvo contiene: Amoxicilina sódica equivalente a 500 mg de amoxicilina. Clavulanato de potasio equivalente a 100 mg de ácido clavulánico. Envase con un frasco ámpula con o sin 10 ml de diluyente.</v>
          </cell>
          <cell r="U265">
            <v>64937</v>
          </cell>
          <cell r="V265">
            <v>162341</v>
          </cell>
        </row>
        <row r="266">
          <cell r="A266">
            <v>263</v>
          </cell>
          <cell r="B266" t="str">
            <v>010.000.2131.00</v>
          </cell>
          <cell r="E266" t="str">
            <v>CEFACLOR. CAPSULA CADA CAPSULA CONTIENE: CEFACLOR MONOHIDRATADO EQUIVALENTE A 250 MG DE CEFACLOR. ENVASE CON 15 CAPSULAS.</v>
          </cell>
          <cell r="U266">
            <v>47096</v>
          </cell>
          <cell r="V266">
            <v>117736</v>
          </cell>
        </row>
        <row r="267">
          <cell r="A267">
            <v>264</v>
          </cell>
          <cell r="B267" t="str">
            <v>010.000.2132.00</v>
          </cell>
          <cell r="E267" t="str">
            <v>Claritromicina. Tableta Cada Tableta contiene: Claritromicina 250 mg Envase con 10 Tabletas.</v>
          </cell>
          <cell r="U267">
            <v>910829</v>
          </cell>
          <cell r="V267">
            <v>2277071</v>
          </cell>
        </row>
        <row r="268">
          <cell r="A268">
            <v>265</v>
          </cell>
          <cell r="B268" t="str">
            <v>010.000.2133.00</v>
          </cell>
          <cell r="E268" t="str">
            <v>Clindamicina. Cápsula Cada Cápsula contiene: Clorhidrato de clindamicina equivalente a 300 mg de clindamicina. Envase con 16 Cápsulas.</v>
          </cell>
          <cell r="U268">
            <v>2316817</v>
          </cell>
          <cell r="V268">
            <v>5792039</v>
          </cell>
        </row>
        <row r="269">
          <cell r="A269">
            <v>266</v>
          </cell>
          <cell r="B269" t="str">
            <v>010.000.2134.00</v>
          </cell>
          <cell r="E269" t="str">
            <v>ERITROMICINA. SOLUCIÓN INYECTABLE CADA FRASCO ÁMPULA CONTIENE: GLUCEPTATO O LACTOBIONATO DE ERITROMICINA EQUIVALENTE A 1 G DE ERITROMICINA. ENVASE CON UN FRASCO ÁMPULA.</v>
          </cell>
          <cell r="U269">
            <v>80</v>
          </cell>
          <cell r="V269">
            <v>200</v>
          </cell>
        </row>
        <row r="270">
          <cell r="A270">
            <v>267</v>
          </cell>
          <cell r="B270" t="str">
            <v>010.000.2135.00</v>
          </cell>
          <cell r="E270" t="str">
            <v>Fluconazol. Solución Inyectable Cada frasco ámpula contiene: Fluconazol 100 mg Envase con un frasco ámpula con 50 ml (2 mg/ml)</v>
          </cell>
          <cell r="U270">
            <v>813443</v>
          </cell>
          <cell r="V270">
            <v>2033607</v>
          </cell>
        </row>
        <row r="271">
          <cell r="A271">
            <v>268</v>
          </cell>
          <cell r="B271" t="str">
            <v>010.000.2136.00</v>
          </cell>
          <cell r="E271" t="str">
            <v>Mebendazol. Tableta Cada Tableta contiene: Mebendazol 100 mg Envase con 6 Tabletas.</v>
          </cell>
          <cell r="U271">
            <v>240</v>
          </cell>
          <cell r="V271">
            <v>600</v>
          </cell>
        </row>
        <row r="272">
          <cell r="A272">
            <v>269</v>
          </cell>
          <cell r="B272" t="str">
            <v>010.000.2139.00</v>
          </cell>
          <cell r="E272" t="str">
            <v>RIBAVIRINA. CÁPSULA CADA CÁPSULA CONTIENE: RIBAVARINA 400 MG ENVASE CON 12 CÁPSULAS.</v>
          </cell>
          <cell r="U272">
            <v>17973</v>
          </cell>
          <cell r="V272">
            <v>44931</v>
          </cell>
        </row>
        <row r="273">
          <cell r="A273">
            <v>270</v>
          </cell>
          <cell r="B273" t="str">
            <v>010.000.2139.01</v>
          </cell>
          <cell r="E273" t="str">
            <v>RIBAVIRINA CAPSULA CADA CAPSULA CONTIENE: RIBAVARINA 400 MG. ENVASE CON 18 CAPSULAS. ENVASE CON 18 CAPSULAS</v>
          </cell>
          <cell r="U273">
            <v>73</v>
          </cell>
          <cell r="V273">
            <v>180</v>
          </cell>
        </row>
        <row r="274">
          <cell r="A274">
            <v>271</v>
          </cell>
          <cell r="B274" t="str">
            <v>010.000.2141.00</v>
          </cell>
          <cell r="E274" t="str">
            <v>Betametasona. Solución Inyectable Cada ampolleta o frasco ámpula contiene: Fosfato sódico de betametasona 5.3 mg equivalente a 4 mg de betametasona. Envase con un frasco ámpula o una ampolleta con 1 ml.</v>
          </cell>
          <cell r="U274">
            <v>345325</v>
          </cell>
          <cell r="V274">
            <v>863311</v>
          </cell>
        </row>
        <row r="275">
          <cell r="A275">
            <v>272</v>
          </cell>
          <cell r="B275" t="str">
            <v>010.000.2144.00</v>
          </cell>
          <cell r="E275" t="str">
            <v>Loratadina. Tableta o gragea. Cada tableta o gragea contienen: Loratadina 10 mg. Envase con 20 tabletas o grageas.</v>
          </cell>
          <cell r="U275">
            <v>10723999</v>
          </cell>
          <cell r="V275">
            <v>26809997</v>
          </cell>
        </row>
        <row r="276">
          <cell r="A276">
            <v>273</v>
          </cell>
          <cell r="B276" t="str">
            <v>010.000.2145.00</v>
          </cell>
          <cell r="E276" t="str">
            <v>Loratadina. Jarabe Cada 100 ml contienen: Loratadina 100 mg Envase con 60 ml y dosificador.</v>
          </cell>
          <cell r="U276">
            <v>3287485</v>
          </cell>
          <cell r="V276">
            <v>8218710</v>
          </cell>
        </row>
        <row r="277">
          <cell r="A277">
            <v>274</v>
          </cell>
          <cell r="B277" t="str">
            <v>010.000.2146.00</v>
          </cell>
          <cell r="E277" t="str">
            <v>Butilhioscina-metamizol. Solución Inyectable Cada ampolleta contiene: N butilbromuro de hioscina 20 mg Metamizol 2.5 g Envase con 5 ampolletas de 5 ml.</v>
          </cell>
          <cell r="U277">
            <v>155099</v>
          </cell>
          <cell r="V277">
            <v>387747</v>
          </cell>
        </row>
        <row r="278">
          <cell r="A278">
            <v>275</v>
          </cell>
          <cell r="B278" t="str">
            <v>010.000.2147.00</v>
          </cell>
          <cell r="E278" t="str">
            <v>CISAPRIDA. TABLETA CADA TABLETA CONTIENE: CISAPRIDA 10 MG ENVASE CON 30 TABLETAS.</v>
          </cell>
          <cell r="U278">
            <v>7168</v>
          </cell>
          <cell r="V278">
            <v>17920</v>
          </cell>
        </row>
        <row r="279">
          <cell r="A279">
            <v>276</v>
          </cell>
          <cell r="B279" t="str">
            <v>010.000.2150.00</v>
          </cell>
          <cell r="E279" t="str">
            <v>Plántago ovata - senósidos a y b. Granulado Cada 100 g contienen: Plántago ovata 54.2 g Concentrado de Sen 12.4 g (equivalente a: Senósidos A y B 300 mg Envase con 100 g.</v>
          </cell>
          <cell r="U279">
            <v>60985</v>
          </cell>
          <cell r="V279">
            <v>152461</v>
          </cell>
        </row>
        <row r="280">
          <cell r="A280">
            <v>277</v>
          </cell>
          <cell r="B280" t="str">
            <v>010.000.2154.01</v>
          </cell>
          <cell r="E280" t="str">
            <v>Enoxaparina. Solución Inyectable Cada jeringa contiene: Enoxaparina sódica 40 mg Envase con 2 Jeringas. con dispositivo de seguridad de 0.4 ml.</v>
          </cell>
          <cell r="U280">
            <v>1102067</v>
          </cell>
          <cell r="V280">
            <v>2755166</v>
          </cell>
        </row>
        <row r="281">
          <cell r="A281">
            <v>278</v>
          </cell>
          <cell r="B281" t="str">
            <v>010.000.2154.02</v>
          </cell>
          <cell r="E281" t="str">
            <v>Enoxaparina. Solución Inyectable Cada jeringa contiene: Enoxaparina sódica 40 mg Envase con 10 Jeringas de 0.4 ml.</v>
          </cell>
          <cell r="U281">
            <v>117932</v>
          </cell>
          <cell r="V281">
            <v>294829</v>
          </cell>
        </row>
        <row r="282">
          <cell r="A282">
            <v>279</v>
          </cell>
          <cell r="B282" t="str">
            <v>010.000.2155.00</v>
          </cell>
          <cell r="E282" t="str">
            <v>Nadroparina. Solución Inyectable Cada jeringa contiene: Nadroparina cálcica 2 850 UI Axa Envase con 2 Jeringas. con 0.3 ml</v>
          </cell>
          <cell r="U282">
            <v>52288</v>
          </cell>
          <cell r="V282">
            <v>130719</v>
          </cell>
        </row>
        <row r="283">
          <cell r="A283">
            <v>280</v>
          </cell>
          <cell r="B283" t="str">
            <v>010.000.2156.00</v>
          </cell>
          <cell r="E283" t="str">
            <v>Espironolactona. Tableta Cada Tableta contiene: Espironolactona 100 mg Envase con 30 Tabletas.</v>
          </cell>
          <cell r="U283">
            <v>26729</v>
          </cell>
          <cell r="V283">
            <v>66819</v>
          </cell>
        </row>
        <row r="284">
          <cell r="A284">
            <v>281</v>
          </cell>
          <cell r="B284" t="str">
            <v>010.000.2157.00</v>
          </cell>
          <cell r="E284" t="str">
            <v>Furosemida. Solución Oral. Cada ml contiene: Furosemida 10 mg Envase con un frasco gotero con 60 ml.</v>
          </cell>
          <cell r="U284">
            <v>8884</v>
          </cell>
          <cell r="V284">
            <v>22209</v>
          </cell>
        </row>
        <row r="285">
          <cell r="A285">
            <v>282</v>
          </cell>
          <cell r="B285" t="str">
            <v>010.000.2158.00</v>
          </cell>
          <cell r="E285" t="str">
            <v>Bromhexina. Solución Cada 100 ml contienen: Clorhidrato de bromhexina 80 mg Envase con 100 ml y dosificador</v>
          </cell>
          <cell r="U285">
            <v>174234</v>
          </cell>
          <cell r="V285">
            <v>435581</v>
          </cell>
        </row>
        <row r="286">
          <cell r="A286">
            <v>283</v>
          </cell>
          <cell r="B286" t="str">
            <v>010.000.2159.00</v>
          </cell>
          <cell r="E286" t="str">
            <v>BROMHEXINA. COMPRIMIDO CADA COMPRIMIDO CONTIENE: CLORHIDRATO DE BROMHEXINA 8 MG ENVASE CON 20 COMPRIMIDOS.</v>
          </cell>
          <cell r="U286">
            <v>148849</v>
          </cell>
          <cell r="V286">
            <v>372121</v>
          </cell>
        </row>
        <row r="287">
          <cell r="A287">
            <v>284</v>
          </cell>
          <cell r="B287" t="str">
            <v>010.000.2162.00</v>
          </cell>
          <cell r="E287" t="str">
            <v>Ipratropio. Suspensión en aerosol Cada g contiene: Bromuro de ipratropio 0.286 mg (20 µgpor nebulización) Envase con 15 ml (21.0 g) como Aerosol.</v>
          </cell>
          <cell r="U287">
            <v>1342111</v>
          </cell>
          <cell r="V287">
            <v>3355277</v>
          </cell>
        </row>
        <row r="288">
          <cell r="A288">
            <v>285</v>
          </cell>
          <cell r="B288" t="str">
            <v>010.000.2167.00</v>
          </cell>
          <cell r="E288" t="str">
            <v>LECHE DESCREMADA. POLVO. CADA 100 G CONTIENEN: PROTEINAS 35.3 G. HIDRATOS DE CARBONO 51.7 G. GRASA 1.0 G. ENVASE CON 400 A 500 G.</v>
          </cell>
          <cell r="U288">
            <v>12224</v>
          </cell>
          <cell r="V288">
            <v>30558</v>
          </cell>
        </row>
        <row r="289">
          <cell r="A289">
            <v>286</v>
          </cell>
          <cell r="B289" t="str">
            <v>010.000.2169.00</v>
          </cell>
          <cell r="E289" t="str">
            <v>Levocarnitina. Solución Inyectable. Cada ampolleta contiene: Levocarnitina 1 g. Envase con 5 ampolletas de 5 ml.</v>
          </cell>
          <cell r="U289">
            <v>92050</v>
          </cell>
          <cell r="V289">
            <v>230122</v>
          </cell>
        </row>
        <row r="290">
          <cell r="A290">
            <v>287</v>
          </cell>
          <cell r="B290" t="str">
            <v>010.000.2169.01</v>
          </cell>
          <cell r="E290" t="str">
            <v>Levocarnitina. Solución Inyectable. Cada ampolleta contiene: Levocarnitina 1 g. Envase con 25 ampolletas de 5 ml.</v>
          </cell>
          <cell r="U290">
            <v>112</v>
          </cell>
          <cell r="V290">
            <v>280</v>
          </cell>
        </row>
        <row r="291">
          <cell r="A291">
            <v>288</v>
          </cell>
          <cell r="B291" t="str">
            <v>010.000.2169.02</v>
          </cell>
          <cell r="E291" t="str">
            <v>Levocarnitina. Solución Inyectable. Cada ampolleta contiene: Levocarnitina 1 g. Envase con 50 ampolletas de 5 ml.</v>
          </cell>
          <cell r="U291">
            <v>12</v>
          </cell>
          <cell r="V291">
            <v>28</v>
          </cell>
        </row>
        <row r="292">
          <cell r="A292">
            <v>289</v>
          </cell>
          <cell r="B292" t="str">
            <v>010.000.2171.00</v>
          </cell>
          <cell r="E292" t="str">
            <v>Levocarnitina. Tableta masticable. Cada tableta contiene: Levocarnitina 1 g. Envase con 20 tabletas.</v>
          </cell>
          <cell r="U292">
            <v>13504</v>
          </cell>
          <cell r="V292">
            <v>33759</v>
          </cell>
        </row>
        <row r="293">
          <cell r="A293">
            <v>290</v>
          </cell>
          <cell r="B293" t="str">
            <v>010.000.2172.00</v>
          </cell>
          <cell r="E293" t="str">
            <v>Alcohol polivinílico. Solución Oftálmica Cada ml contiene: alcohol polivinílico 14 mg Envase con gotero integral con 15 ml.</v>
          </cell>
          <cell r="U293">
            <v>8627</v>
          </cell>
          <cell r="V293">
            <v>21566</v>
          </cell>
        </row>
        <row r="294">
          <cell r="A294">
            <v>291</v>
          </cell>
          <cell r="B294" t="str">
            <v>010.000.2174.00</v>
          </cell>
          <cell r="E294" t="str">
            <v>Ciprofloxacino. Solución Oftálmica Cada 1 ml contiene: Clorhidrato de ciprofloxacino monohidratado equivalente a 3.0 mg de ciprofloxacino. Envase con gotero integral con 5 ml.</v>
          </cell>
          <cell r="U294">
            <v>436133</v>
          </cell>
          <cell r="V294">
            <v>1090329</v>
          </cell>
        </row>
        <row r="295">
          <cell r="A295">
            <v>292</v>
          </cell>
          <cell r="B295" t="str">
            <v>010.000.2175.00</v>
          </cell>
          <cell r="E295" t="str">
            <v>Cloranfenicol-sulfacetamida sódica. Suspensión Oftálmica Cada 100 ml contiene: Cloranfenicol levógiro 0.5 g Sulfacetamida sódica 10 g Envase con gotero integral con 5 ml.</v>
          </cell>
          <cell r="U295">
            <v>10524</v>
          </cell>
          <cell r="V295">
            <v>26309</v>
          </cell>
        </row>
        <row r="296">
          <cell r="A296">
            <v>293</v>
          </cell>
          <cell r="B296" t="str">
            <v>010.000.2179.00</v>
          </cell>
          <cell r="E296" t="str">
            <v>Fluorometalona. Solución Oftálmica Cada 100 ml contienen: Fluorometalona 100 mg Envase con gotero integral con 5 ml.</v>
          </cell>
          <cell r="U296">
            <v>7892</v>
          </cell>
          <cell r="V296">
            <v>19726</v>
          </cell>
        </row>
        <row r="297">
          <cell r="A297">
            <v>294</v>
          </cell>
          <cell r="B297" t="str">
            <v>010.000.2182.00</v>
          </cell>
          <cell r="E297" t="str">
            <v>LEVOEPINEFRINA. SOLUCION OFTALMICA CADA 100 ML CONTIENE: LEVOEPINEFRINA 0.200 GENVASE CON GOTERO INTEGRAL CON 5 ML.</v>
          </cell>
          <cell r="U297">
            <v>2118</v>
          </cell>
          <cell r="V297">
            <v>5293</v>
          </cell>
        </row>
        <row r="298">
          <cell r="A298">
            <v>295</v>
          </cell>
          <cell r="B298" t="str">
            <v>010.000.2186.00</v>
          </cell>
          <cell r="E298" t="str">
            <v>Prednisolona-sulfacetamida. Suspensión Oftálmica Cada ml contiene: Acetato de prednisolona 5 mg Sulfacetamida sódica 100 mg Envase con gotero integrado con 5 ml.</v>
          </cell>
          <cell r="U298">
            <v>500</v>
          </cell>
          <cell r="V298">
            <v>1250</v>
          </cell>
        </row>
        <row r="299">
          <cell r="A299">
            <v>296</v>
          </cell>
          <cell r="B299" t="str">
            <v>010.000.2187.00</v>
          </cell>
          <cell r="E299" t="str">
            <v>Ipratropio. Solución Cada 100 ml contienen: Bromuro de ipratropio monohidratado equivalente a 25 mg de bromuro de ipratropio. Envase con frasco ámpula con 20 ml.</v>
          </cell>
          <cell r="U299">
            <v>162287</v>
          </cell>
          <cell r="V299">
            <v>405716</v>
          </cell>
        </row>
        <row r="300">
          <cell r="A300">
            <v>297</v>
          </cell>
          <cell r="B300" t="str">
            <v>010.000.2188.00</v>
          </cell>
          <cell r="E300" t="str">
            <v>Ipratropio-salbutamol. Solución Cada ampolleta contiene: Bromuro de ipratropio monohidratado equivalente a 0.500 mg de bromuro de ipratropio. Sulfato de salbutamol equivalente a 2.500 mg de salbutamol. Envase con 10 ampolletas de 2.5 ml.</v>
          </cell>
          <cell r="U300">
            <v>806890</v>
          </cell>
          <cell r="V300">
            <v>2017224</v>
          </cell>
        </row>
        <row r="301">
          <cell r="A301">
            <v>298</v>
          </cell>
          <cell r="B301" t="str">
            <v>010.000.2189.00</v>
          </cell>
          <cell r="E301" t="str">
            <v>Tobramicina. Solución Oftálmica Cada ml contiene: Sulfato de tobramicina equivalente a 3.0 mg de tobramicina ó tobramicina 3.0 mg Envase con gotero integral con 5 ml</v>
          </cell>
          <cell r="U301">
            <v>184191</v>
          </cell>
          <cell r="V301">
            <v>460476</v>
          </cell>
        </row>
        <row r="302">
          <cell r="A302">
            <v>299</v>
          </cell>
          <cell r="B302" t="str">
            <v>010.000.2189.01</v>
          </cell>
          <cell r="E302" t="str">
            <v>Tobramicina. Solución Oftálmica Cada ml contiene: Sulfato de tobramicina equivalente a 3.0 mg de tobramicina ó tobramicina 3.0 mg Envase con gotero integral con15 ml</v>
          </cell>
          <cell r="U302">
            <v>58046</v>
          </cell>
          <cell r="V302">
            <v>145112</v>
          </cell>
        </row>
        <row r="303">
          <cell r="A303">
            <v>300</v>
          </cell>
          <cell r="B303" t="str">
            <v>010.000.2190.00</v>
          </cell>
          <cell r="E303" t="str">
            <v>Ipratropio-salbutamol. Suspensión en aerosol Cada g contiene: Bromuro de ipratropio monohidratado equivalente a 0.286 mg de ipratropio. Sulfato de salbutamol equivalente a 1.423 mg de salbutamol. Envase con un frasco presurizado con 14 g sin espaciador.</v>
          </cell>
          <cell r="U303">
            <v>810</v>
          </cell>
          <cell r="V303">
            <v>2023</v>
          </cell>
        </row>
        <row r="304">
          <cell r="A304">
            <v>301</v>
          </cell>
          <cell r="B304" t="str">
            <v>010.000.2191.00</v>
          </cell>
          <cell r="E304" t="str">
            <v>Vitamina A. Cápsula. Cada Cápsula contiene: Vitamina A 50 000 UI. Envase con 40 Cápsulas.</v>
          </cell>
          <cell r="U304">
            <v>162150</v>
          </cell>
          <cell r="V304">
            <v>405373</v>
          </cell>
        </row>
        <row r="305">
          <cell r="A305">
            <v>302</v>
          </cell>
          <cell r="B305" t="str">
            <v>010.000.2192.00</v>
          </cell>
          <cell r="E305" t="str">
            <v>Ácido folínico. Solución Inyectable Cada frasco ámpula o ampolleta contiene: Folinato cálcico equivalente a 50 mg de ácido folínico. Envase con un frasco ámpula o ampolleta con 4 ml</v>
          </cell>
          <cell r="U305">
            <v>230481</v>
          </cell>
          <cell r="V305">
            <v>576201</v>
          </cell>
        </row>
        <row r="306">
          <cell r="A306">
            <v>303</v>
          </cell>
          <cell r="B306" t="str">
            <v>010.000.2194.00</v>
          </cell>
          <cell r="E306" t="str">
            <v>METOTREXATO. SOLUCION INYECTABLE CADA FRASCO AMPULA CON LIOFILIZADO CONTIENE: METOTREXATO SODICO EQUIVALENTE A 1 G DE METOTREXATO ENVASE CON UN FRASCO AMPULA.</v>
          </cell>
          <cell r="U306">
            <v>15974</v>
          </cell>
          <cell r="V306">
            <v>39932</v>
          </cell>
        </row>
        <row r="307">
          <cell r="A307">
            <v>304</v>
          </cell>
          <cell r="B307" t="str">
            <v>010.000.2195.00</v>
          </cell>
          <cell r="E307" t="str">
            <v>Ondansetrón. Tableta Cada Tableta contiene: Clorhidrato dihidratado de ondansetrón equivalente a 8 mg de ondansetrón Envase con 10 Tabletas.</v>
          </cell>
          <cell r="U307">
            <v>424599</v>
          </cell>
          <cell r="V307">
            <v>1061495</v>
          </cell>
        </row>
        <row r="308">
          <cell r="A308">
            <v>305</v>
          </cell>
          <cell r="B308" t="str">
            <v>010.000.2196.00</v>
          </cell>
          <cell r="E308" t="str">
            <v>DIMENHIDRINATO. SOLUCIÓN INYECTABLE. CADA ML CONTIENE: DIMENHIDRINATO 50 MG ENVASE CON UNA AMPOLLETA CON 1 ML.</v>
          </cell>
          <cell r="U308">
            <v>5</v>
          </cell>
          <cell r="V308">
            <v>10</v>
          </cell>
        </row>
        <row r="309">
          <cell r="A309">
            <v>306</v>
          </cell>
          <cell r="B309" t="str">
            <v>010.000.2198.00</v>
          </cell>
          <cell r="E309" t="str">
            <v>Oximetazolina. Solución Nasal Cada 100 ml contienen: Clorhidrato de oximetazolina 50 mg Envase con gotero integral con 20 ml.</v>
          </cell>
          <cell r="U309">
            <v>65487</v>
          </cell>
          <cell r="V309">
            <v>163714</v>
          </cell>
        </row>
        <row r="310">
          <cell r="A310">
            <v>307</v>
          </cell>
          <cell r="B310" t="str">
            <v>010.000.2199.00</v>
          </cell>
          <cell r="E310" t="str">
            <v>Oximetazolina. Solución Nasal Cada 100 ml contienen Clorhidrato de oximetazolina 25 mg Envase con gotero integral con 20 ml.</v>
          </cell>
          <cell r="U310">
            <v>31448</v>
          </cell>
          <cell r="V310">
            <v>78619</v>
          </cell>
        </row>
        <row r="311">
          <cell r="A311">
            <v>308</v>
          </cell>
          <cell r="B311" t="str">
            <v>010.000.2202.00</v>
          </cell>
          <cell r="E311" t="str">
            <v>PENICILAMINA CADA TABLETA CONTIENE: PENICILAMINA 300 MG ENVASE CON 50 TABLETAS.</v>
          </cell>
          <cell r="U311">
            <v>818</v>
          </cell>
          <cell r="V311">
            <v>2043</v>
          </cell>
        </row>
        <row r="312">
          <cell r="A312">
            <v>309</v>
          </cell>
          <cell r="B312" t="str">
            <v>010.000.2204.00</v>
          </cell>
          <cell r="E312" t="str">
            <v>DEFERASIROX. COMPRIMIDO. CADA COMPRIMIDO CONTIENE: DEFERASIROX 125 MG ENVASE CON 28 COMPRIMIDOS</v>
          </cell>
          <cell r="U312">
            <v>1049</v>
          </cell>
          <cell r="V312">
            <v>2620</v>
          </cell>
        </row>
        <row r="313">
          <cell r="A313">
            <v>310</v>
          </cell>
          <cell r="B313" t="str">
            <v>010.000.2205.00</v>
          </cell>
          <cell r="E313" t="str">
            <v>deferasirox. Comprimido. Cada comprimido contiene: deferasirox 250 mg Envase con 28 Comprimidos</v>
          </cell>
          <cell r="U313">
            <v>1047</v>
          </cell>
          <cell r="V313">
            <v>2615</v>
          </cell>
        </row>
        <row r="314">
          <cell r="A314">
            <v>311</v>
          </cell>
          <cell r="B314" t="str">
            <v>010.000.2206.00</v>
          </cell>
          <cell r="E314" t="str">
            <v>DEFERASIROX. COMPRIMIDO. CADA COMPRIMIDO CONTIENE: DEFERASIROX 500 MG ENVASE CON 28 COMPRIMIDOS.</v>
          </cell>
          <cell r="U314">
            <v>4481</v>
          </cell>
          <cell r="V314">
            <v>11200</v>
          </cell>
        </row>
        <row r="315">
          <cell r="A315">
            <v>312</v>
          </cell>
          <cell r="B315" t="str">
            <v>010.000.2207.01</v>
          </cell>
          <cell r="E315" t="str">
            <v>Tibolona. Tableta Cada Tableta contiene: Tibolona 2.5 mg Envase con 30 Tabletas.</v>
          </cell>
          <cell r="U315">
            <v>352154</v>
          </cell>
          <cell r="V315">
            <v>880383</v>
          </cell>
        </row>
        <row r="316">
          <cell r="A316">
            <v>313</v>
          </cell>
          <cell r="B316" t="str">
            <v>010.000.2208.00</v>
          </cell>
          <cell r="E316" t="str">
            <v>Levonorgestrel. Polvo El dispositivo con polvo contiene: Levonorgestrel (micronizado) 52 mg Envase con un dispositivo.</v>
          </cell>
          <cell r="U316">
            <v>182724</v>
          </cell>
          <cell r="V316">
            <v>456810</v>
          </cell>
        </row>
        <row r="317">
          <cell r="A317">
            <v>314</v>
          </cell>
          <cell r="B317" t="str">
            <v>010.000.2210.00</v>
          </cell>
          <cell r="E317" t="str">
            <v>Levonorgestrel. Comprimido o Tableta Cada Comprimido o Tableta contiene: Levonorgestrel 0.750 mg Envase con 2 Comprimidos o Tabletas.</v>
          </cell>
          <cell r="U317">
            <v>224342</v>
          </cell>
          <cell r="V317">
            <v>560851</v>
          </cell>
        </row>
        <row r="318">
          <cell r="A318">
            <v>315</v>
          </cell>
          <cell r="B318" t="str">
            <v>010.000.2230.00</v>
          </cell>
          <cell r="E318" t="str">
            <v>Amoxicilina acido clavulánico. Tableta Cada Tableta contiene: amoxicilina trihidratada equivalente a 500 mg de amoxilina. Clavulanato de potasio equivalente a 125 mg de ácido clavulánico. Envase con 12 Tabletas.</v>
          </cell>
          <cell r="U318">
            <v>369729</v>
          </cell>
          <cell r="V318">
            <v>924321</v>
          </cell>
        </row>
        <row r="319">
          <cell r="A319">
            <v>316</v>
          </cell>
          <cell r="B319" t="str">
            <v>010.000.2230.01</v>
          </cell>
          <cell r="E319" t="str">
            <v>Amoxicilina acido clavulánico. Tableta Cada Tableta contiene: amoxicilina trihidratada equivalente a 500 mg de amoxilina. Clavulanato de potasio equivalente a 125 mg de ácido clavulánico. Envase con 16 Tabletas.</v>
          </cell>
          <cell r="U319">
            <v>3796611</v>
          </cell>
          <cell r="V319">
            <v>9491525</v>
          </cell>
        </row>
        <row r="320">
          <cell r="A320">
            <v>317</v>
          </cell>
          <cell r="B320" t="str">
            <v>010.000.2231.00</v>
          </cell>
          <cell r="E320" t="str">
            <v>Metiltionino cloruro de (azul de metileno). Solución Inyectable Cada ampolleta contiene: Cloruro de metiltionino trihidratado 100 mg Envase con una 1 ampolleta con 10 ml.</v>
          </cell>
          <cell r="U320">
            <v>21674</v>
          </cell>
          <cell r="V320">
            <v>54183</v>
          </cell>
        </row>
        <row r="321">
          <cell r="A321">
            <v>318</v>
          </cell>
          <cell r="B321" t="str">
            <v>010.000.2242.00</v>
          </cell>
          <cell r="E321" t="str">
            <v>Carbón activado. Polvo. Cada envase contiene: Carbón activado 1 kg Envase con un kg. (para uso en seres humanos).</v>
          </cell>
          <cell r="U321">
            <v>15167</v>
          </cell>
          <cell r="V321">
            <v>37916</v>
          </cell>
        </row>
        <row r="322">
          <cell r="A322">
            <v>319</v>
          </cell>
          <cell r="B322" t="str">
            <v>010.000.2247.00</v>
          </cell>
          <cell r="E322" t="str">
            <v>Cinitaprida. Comprimido Cada Comprimido contiene Bitartrato de cinitaprida equivalente a 1 mg de cinitaprida. Envase con 25 Comprimidos.</v>
          </cell>
          <cell r="U322">
            <v>3035151</v>
          </cell>
          <cell r="V322">
            <v>7587875</v>
          </cell>
        </row>
        <row r="323">
          <cell r="A323">
            <v>320</v>
          </cell>
          <cell r="B323" t="str">
            <v>010.000.2248.00</v>
          </cell>
          <cell r="E323" t="str">
            <v>CINITAPRIDA. GRANULADO CADA SOBRE CONTIENE: BITARTRATO DE CINITAPRIDA EQUIVALENTE A 1 MG DE CINITAPRIDA. ENVASE CON 30 SOBRES.</v>
          </cell>
          <cell r="U323">
            <v>129389</v>
          </cell>
          <cell r="V323">
            <v>323469</v>
          </cell>
        </row>
        <row r="324">
          <cell r="A324">
            <v>321</v>
          </cell>
          <cell r="B324" t="str">
            <v>010.000.2262.00</v>
          </cell>
          <cell r="E324" t="str">
            <v>Bromuro de tiotropio. POLVO. Cada cápsula contiene: Bromuro de tiotropio monohidratado equivalente a 18 µg de tiotropio. Envase con 30 Cápsulas y dispositivo inhalador.</v>
          </cell>
          <cell r="U324">
            <v>489300</v>
          </cell>
          <cell r="V324">
            <v>1223250</v>
          </cell>
        </row>
        <row r="325">
          <cell r="A325">
            <v>322</v>
          </cell>
          <cell r="B325" t="str">
            <v>010.000.2263.00</v>
          </cell>
          <cell r="E325" t="str">
            <v>BROMURO DE TIOTROPIO. POLVO. CADA CÁPSULA CONTIENE: BROMURO DE TIOTROPIO MONOHIDRATADO EQUIVALENTE A 18 µG DE TIOTROPIO. ENVASE CON 30 CÁPSULAS (REPUESTO).</v>
          </cell>
          <cell r="U325">
            <v>421444</v>
          </cell>
          <cell r="V325">
            <v>1053607</v>
          </cell>
        </row>
        <row r="326">
          <cell r="A326">
            <v>323</v>
          </cell>
          <cell r="B326" t="str">
            <v>010.000.2301.00</v>
          </cell>
          <cell r="E326" t="str">
            <v>Hidroclorotiazida. Tableta Cada Tableta contiene: Hidroclorotiazida 25 mg Envase con 20 Tabletas.</v>
          </cell>
          <cell r="U326">
            <v>13152544</v>
          </cell>
          <cell r="V326">
            <v>32881359</v>
          </cell>
        </row>
        <row r="327">
          <cell r="A327">
            <v>324</v>
          </cell>
          <cell r="B327" t="str">
            <v>010.000.2302.00</v>
          </cell>
          <cell r="E327" t="str">
            <v>Acetazolamida. Tableta Cada Tableta contiene: Acetazolamida 250 mg Envase con 20 Tabletas.</v>
          </cell>
          <cell r="U327">
            <v>138002</v>
          </cell>
          <cell r="V327">
            <v>345005</v>
          </cell>
        </row>
        <row r="328">
          <cell r="A328">
            <v>325</v>
          </cell>
          <cell r="B328" t="str">
            <v>010.000.2304.01</v>
          </cell>
          <cell r="E328" t="str">
            <v>Espironolactona. Tableta Cada Tableta contiene: Espironolactona 25 mg Envase con 30 Tabletas.</v>
          </cell>
          <cell r="U328">
            <v>3176374</v>
          </cell>
          <cell r="V328">
            <v>7940932</v>
          </cell>
        </row>
        <row r="329">
          <cell r="A329">
            <v>326</v>
          </cell>
          <cell r="B329" t="str">
            <v>010.000.2306.00</v>
          </cell>
          <cell r="E329" t="str">
            <v>Manitol. Solución Inyectable al 20% Cada envase contiene: Manitol 50 g Envase con 250 ml.</v>
          </cell>
          <cell r="U329">
            <v>161132</v>
          </cell>
          <cell r="V329">
            <v>402828</v>
          </cell>
        </row>
        <row r="330">
          <cell r="A330">
            <v>327</v>
          </cell>
          <cell r="B330" t="str">
            <v>010.000.2307.00</v>
          </cell>
          <cell r="E330" t="str">
            <v>Furosemida. Tableta. Cada tableta contiene: Furosemida 40 mg Envase con 20 Tabletas.</v>
          </cell>
          <cell r="U330">
            <v>7148811</v>
          </cell>
          <cell r="V330">
            <v>17872027</v>
          </cell>
        </row>
        <row r="331">
          <cell r="A331">
            <v>328</v>
          </cell>
          <cell r="B331" t="str">
            <v>010.000.2308.00</v>
          </cell>
          <cell r="E331" t="str">
            <v>Furosemida. Solución Inyectable. Cada ampolleta contiene: Furosemida 20 mg Envase con 5 ampolletas de 2 ml.</v>
          </cell>
          <cell r="U331">
            <v>1912244</v>
          </cell>
          <cell r="V331">
            <v>4780608</v>
          </cell>
        </row>
        <row r="332">
          <cell r="A332">
            <v>329</v>
          </cell>
          <cell r="B332" t="str">
            <v>010.000.2331.00</v>
          </cell>
          <cell r="E332" t="str">
            <v>Fenazopiridina. Tableta Cada Tableta contiene: Clorhidrato de fenazopiridina 100 mg Envase con 20 Tabletas.</v>
          </cell>
          <cell r="U332">
            <v>2224686</v>
          </cell>
          <cell r="V332">
            <v>5561712</v>
          </cell>
        </row>
        <row r="333">
          <cell r="A333">
            <v>330</v>
          </cell>
          <cell r="B333" t="str">
            <v>010.000.2341.00</v>
          </cell>
          <cell r="E333" t="str">
            <v>Solución para Dialisis Peritoneal. Solución para Dialisis Peritoneal al 1.5%. Envase con bolsa de 2 000 ml.</v>
          </cell>
          <cell r="U333">
            <v>18074</v>
          </cell>
          <cell r="V333">
            <v>45182</v>
          </cell>
        </row>
        <row r="334">
          <cell r="A334">
            <v>331</v>
          </cell>
          <cell r="B334" t="str">
            <v>010.000.2344.00</v>
          </cell>
          <cell r="E334" t="str">
            <v>Solución Para Diálisis Peritoneal. Solución Para Diálisis Peritoneal al 4.25%. Envase con bolsa de 2000 ml.</v>
          </cell>
          <cell r="U334">
            <v>240</v>
          </cell>
          <cell r="V334">
            <v>600</v>
          </cell>
        </row>
        <row r="335">
          <cell r="A335">
            <v>332</v>
          </cell>
          <cell r="B335" t="str">
            <v>010.000.2350.00</v>
          </cell>
          <cell r="E335" t="str">
            <v>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6 000 ml.</v>
          </cell>
          <cell r="U335">
            <v>23571</v>
          </cell>
          <cell r="V335">
            <v>58926</v>
          </cell>
        </row>
        <row r="336">
          <cell r="A336">
            <v>333</v>
          </cell>
          <cell r="B336" t="str">
            <v>010.000.2352.00</v>
          </cell>
          <cell r="E336" t="str">
            <v>Solución para Diálisis Peritoneal baja en magnesio con sistema de doble bolsa.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2 000 ml y con sistema integrado de tubería en "Y" y en el otro extremo bolsa de drenaje con conector tipo luer lock y tapón con antiséptico.</v>
          </cell>
          <cell r="U336">
            <v>159728</v>
          </cell>
          <cell r="V336">
            <v>399320</v>
          </cell>
        </row>
        <row r="337">
          <cell r="A337">
            <v>334</v>
          </cell>
          <cell r="B337" t="str">
            <v>010.000.2354.00</v>
          </cell>
          <cell r="E337" t="str">
            <v>Solución para Diálisis Peritoneal baja en magnesio con sistema de doble bolsa.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"Y" y en el otro extremo bolsa de drenaje con conector tipo luer lock y tapón con antiséptico.</v>
          </cell>
          <cell r="U337">
            <v>40152</v>
          </cell>
          <cell r="V337">
            <v>100379</v>
          </cell>
        </row>
        <row r="338">
          <cell r="A338">
            <v>335</v>
          </cell>
          <cell r="B338" t="str">
            <v>010.000.2356.00</v>
          </cell>
          <cell r="E338" t="str">
            <v>Solución para Diálisis Peritoneal baja en magnesio con sistema de doble bolsa.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2 000 ml y con sistema integrado de tubería en "Y" y en el otro extremo bolsa de drenaje con conector tipo luer lock y tapón con antiséptico.</v>
          </cell>
          <cell r="U338">
            <v>285222</v>
          </cell>
          <cell r="V338">
            <v>713052</v>
          </cell>
        </row>
        <row r="339">
          <cell r="A339">
            <v>336</v>
          </cell>
          <cell r="B339" t="str">
            <v>010.000.2364.00</v>
          </cell>
          <cell r="E339" t="str">
            <v>SOLUCION PARA DIALISIS PERITONEAL CON ICODEXTRINA SOLUCION CADA 100 MLCONTIENEN: ICODEXTRINA 7.5000 G CLORURO DE SODIO 0.5400 G LACTATO DE SODIO0.4500 G CLORURO DE CALCIO DIHIDRATADO 0.0257 G CLORURO DE MAGNESIOHEXAHIDRATADO 0.0051 G ENVASE CON BOLSA CON 2000 ML DE SOLUCION.</v>
          </cell>
          <cell r="U339">
            <v>2336</v>
          </cell>
          <cell r="V339">
            <v>5838</v>
          </cell>
        </row>
        <row r="340">
          <cell r="A340">
            <v>337</v>
          </cell>
          <cell r="B340" t="str">
            <v>010.000.2365.00</v>
          </cell>
          <cell r="E340" t="str">
            <v>SISTEMA INTEGRAL PARA LA APLICACION DE DIALISIS PERITONEAL CONTINUA AMBULATORIALAS UNIDADES MEDICAS SELECCIONARAN DE ACUERDO A SUS NECESIDADES: SOLUCION PARADIALISIS PERITONEAL BAJA EN MAGNESIO SOLUCION PARA DIALISIS PERITONEAL AL 1.5%CADA 100 ML CONTIENEN: GLUCOSA MONOHIDRATADA: 1.5 G. CLORURO DE SODIO 538 MG,CLORURO DE CALCIO DIHIDRATADO 25.7 MG, CLORURO DE MAGNESIO HEXAHIDRATADO 5.08MG, LACTATO DE SODIO 448 MG, AGUA INYECTABLE C.B.P. 100 ML. PH 5.0-5.6.MILIEQUIVALENTES POR LITRO: SODIO 132, CALCIO 3.5, MAGNESIO 0.5, CLORURO 96,LACTATO 40. MILIOSMOLES APROXIMADOS POR LITRO 347. O SOLUCION PARA DIALISISPERITONEAL AL 2.5% CADA 100 ML CONTIENEN: GLUCOSA MONOHIDRATADA 2.5 G, CLORURODE SODIO 538 MG, CLORURO DE CALCIO DIHIDRATADO 25.7 MG, CLORURO DE MAGNESIOHEXAHIDRATADO 5.08 MG, LACTATO DE SODIO 448 MG, AGUA INYECTABLE C.B.P 100 ML.PH 5.0-5.6. MILIEQUIVALENTES POR LITRO: SODIO 132, CALCIO 3.5, MAGNESIO 0.5,CLORURO 96, LACTATO 40. MILIOSMOLES APROXIMADOS POR LITRO 398. O SOLUCION PARADIALISIS PERITONEAL AL 4.25%. CADA 100 ML CONTIENEN: GLUCOSA MONOHIDRATADA4.25 G, CLORURO DE SODIO 538 MG, CLORURO DE CALCIO DIHIDRATADO 25.7 MG,CLORURO DE MAGNESIO HEXAHIDRATADO 5.08 MG, LACTATO DE SODIO 448 MG, AGUAINYECTABLE C.B.P 100 ML. PH 5.0-5.6. MILIEQUIVALENTES POR LITRO: SODIO 132,CALCIO 3.5, MAGNESIO 0.5, CLORURO 96, LACTATO 40. MILIOSMOLES APROXIMADOS PORLITRO 486. ENVASE CON BOLSA DE 2 000 ML Y CON SISTEMA INTEGRADO DE TUBERIA EN"Y" Y EN EL OTRO EXTREMO BOLSA DE DRENAJE, CON CONECTOR TIPO LUER LOCK Y TAPONCON ANTISEPTICO.CATETER CATETER PARA DIALISIS PERITONEAL. TIPO: COLA DECOCHINO. TAMAÑO: PEDIATRICO O ADULTO. DE INSTALACION SUBCUTANEA, BLANDO, DESILICON, CON DOS COJINETES DE POLIESTER O DACRON, CON CONECTOR, TAPON YSEGURO, CON BANDA RADIOOPACA. ESTERIL Y DESECHABLE. PIEZA. EL TAMAÑO DELCATETER SERA SELECCIONADO POR LAS INSTITUCIONES. O CATETER PARA DIALISISPERITONEAL. TIPO: TENCKHOFF: TAMAÑO: NEONATAL, PEDIATRICO O ADULTO. DEINSTALACION SUBCUTANEA, BLANDO, DE SILICON, CON DOS COJINETES DE POLIESTER ODACRON, CON CONECTOR CON TAPON, SEGURO, CON BANDA RADIOOPACA. ESTERIL YDESECHABLE. PIEZA. EL TAMAÑO DEL CATETER SERA SELECCIONADO POR LASINSTITUCIONES. CONECTOR CONECTOR DE TITANIO LUER LOCK, PARA AJUSTAR LA PUNTADEL CATETER A LA LINEA DE TRANSFERENCIA, TIPO TENCKHOFF. ESTERIL. PIEZA.EQUIPO DE LINEA CORTA DE TRANSFERENCIA EQUIPO. DE LINEA CORTA DE TRANSFERENCIADE 6 MESES DE DURACION, PARA UNIRSE AL CONECTOR CORRESPONDIENTE AL CATETER DELPACIENTE. ESTERIL Y DESECHABLE. CUBREBOCAS CUBREBOCAS. PARA USO EN AREAHOSPITALARIA, DESECHABLES. PIEZA. PINZA DE SUJECION DESECHABLE PINZA DESUJECION DESECHABLE, PARA EL MANEJO DE EQUIPO PARA DIALISIS PERITONEAL. PIEZA.ANTISEPTICO Y GERMICIDA. SOLUCION. SOLO SI EL SISTEMA LO REQUIERE.</v>
          </cell>
          <cell r="U340">
            <v>865</v>
          </cell>
          <cell r="V340">
            <v>2160</v>
          </cell>
        </row>
        <row r="341">
          <cell r="A341">
            <v>338</v>
          </cell>
          <cell r="B341" t="str">
            <v>010.000.2403.00</v>
          </cell>
          <cell r="E341" t="str">
            <v>ESTREPTOMICINA. SOLUCIÓN INYECTABLE EL FRASCO ÁMPULA CON POLVO CONTIENE: SULFATO DE ESTREPTOMICINA EQUIVALENTE A 1 G DE ESTREPTOMICINA. ENVASE CON UN FRASCO ÁMPULA Y DILUYENTE CON 2 ML.</v>
          </cell>
          <cell r="U341">
            <v>13483</v>
          </cell>
          <cell r="V341">
            <v>33706</v>
          </cell>
        </row>
        <row r="342">
          <cell r="A342">
            <v>339</v>
          </cell>
          <cell r="B342" t="str">
            <v>010.000.2405.00</v>
          </cell>
          <cell r="E342" t="str">
            <v>ETAMBUTOL. TABLETA CADA TABLETAS CONTIENE: CLORHIDRATO DE ETAMBUTOL 400 MG ENVASE CON 50 TABLETAS.</v>
          </cell>
          <cell r="U342">
            <v>3912</v>
          </cell>
          <cell r="V342">
            <v>9776</v>
          </cell>
        </row>
        <row r="343">
          <cell r="A343">
            <v>340</v>
          </cell>
          <cell r="B343" t="str">
            <v>010.000.2409.01</v>
          </cell>
          <cell r="E343" t="str">
            <v>Rifampicina. Cápsula Comprimido o Tableta recubierta. Cada Cápsula Comprimido o Tableta ReCubierta contiene: Rifampicina 300 mg Envase con 120 Cápsulas Comprimidos o Tabletas ReCubiertas.</v>
          </cell>
          <cell r="U343">
            <v>6568</v>
          </cell>
          <cell r="V343">
            <v>16419</v>
          </cell>
        </row>
        <row r="344">
          <cell r="A344">
            <v>341</v>
          </cell>
          <cell r="B344" t="str">
            <v>010.000.2409.02</v>
          </cell>
          <cell r="E344" t="str">
            <v>RIFAMPICINA CÁPSULA, COMPRIMIDO O TABLETA RECUBIERTA. CADA CÁPSULA, COMPRIMIDO O TABLETA RECUBIERTA CONTIENE: RIFAMPICINA 300 MG. ENVASE CON 16 CÁPSULAS, COMPRIMIDOS O TABLETAS RECUBIERTAS.</v>
          </cell>
          <cell r="U344">
            <v>3645</v>
          </cell>
          <cell r="V344">
            <v>9111</v>
          </cell>
        </row>
        <row r="345">
          <cell r="A345">
            <v>342</v>
          </cell>
          <cell r="B345" t="str">
            <v>010.000.2410.00</v>
          </cell>
          <cell r="E345" t="str">
            <v>RIFAMPICINA. SUSPENSIÓN ORAL CADA 5 ML CONTIENEN: RIFAMPICINA 100 MG ENVASE CON 120 ML Y DOSIFICADOR.</v>
          </cell>
          <cell r="U345">
            <v>3281</v>
          </cell>
          <cell r="V345">
            <v>8200</v>
          </cell>
        </row>
        <row r="346">
          <cell r="A346">
            <v>343</v>
          </cell>
          <cell r="B346" t="str">
            <v>010.000.2413.00</v>
          </cell>
          <cell r="E346" t="str">
            <v>Pirazinamida. Tableta Cada Tableta contiene: Pirazinamida 500 mg Envase con 50 Tabletas.</v>
          </cell>
          <cell r="U346">
            <v>2236</v>
          </cell>
          <cell r="V346">
            <v>5588</v>
          </cell>
        </row>
        <row r="347">
          <cell r="A347">
            <v>344</v>
          </cell>
          <cell r="B347" t="str">
            <v>010.000.2414.00</v>
          </cell>
          <cell r="E347" t="str">
            <v>Rifampicina-isoniazida-pirazinamida. Tableta o Gragea Cada Tableta o Gragea contiene: Rifampicina 150 mg Isoniazida 75 mg Pirazinamida 400 mg Envase con 240 Tabletas o Grageas.</v>
          </cell>
          <cell r="U347">
            <v>915</v>
          </cell>
          <cell r="V347">
            <v>2285</v>
          </cell>
        </row>
        <row r="348">
          <cell r="A348">
            <v>345</v>
          </cell>
          <cell r="B348" t="str">
            <v>010.000.2415.00</v>
          </cell>
          <cell r="E348" t="str">
            <v>ISONIAZIDA -RIFAMPICINA COMPRIMIDO O CAPSULA CADA COMPRIMIDO O CAPSULACONTIENE: ISONIAZIDA 200 MG RIFAMPICINA 150 MG ENVASE CON 120 COMPRIMIDOS OCAPSULAS.</v>
          </cell>
          <cell r="U348">
            <v>932</v>
          </cell>
          <cell r="V348">
            <v>2329</v>
          </cell>
        </row>
        <row r="349">
          <cell r="A349">
            <v>346</v>
          </cell>
          <cell r="B349" t="str">
            <v>010.000.2431.00</v>
          </cell>
          <cell r="E349" t="str">
            <v>Dextrometorfano. Jarabe. Cada 100 ml contienen: Bromhidrato de dextrometorfano 300 mg Envase con 60 ml y dosificador (15 mg/5 ml).</v>
          </cell>
          <cell r="U349">
            <v>3187808</v>
          </cell>
          <cell r="V349">
            <v>7969517</v>
          </cell>
        </row>
        <row r="350">
          <cell r="A350">
            <v>347</v>
          </cell>
          <cell r="B350" t="str">
            <v>010.000.2433.00</v>
          </cell>
          <cell r="E350" t="str">
            <v>Benzonatato. Perla o Cápsula Cada Perla o Cápsula contiene: Benzonatato 100 mg Envase con 20 Perlas o Cápsulas.</v>
          </cell>
          <cell r="U350">
            <v>3485938</v>
          </cell>
          <cell r="V350">
            <v>8714843</v>
          </cell>
        </row>
        <row r="351">
          <cell r="A351">
            <v>348</v>
          </cell>
          <cell r="B351" t="str">
            <v>010.000.2435.00</v>
          </cell>
          <cell r="E351" t="str">
            <v>BENZONATATO SUPOSITORIO CADA SUPOSITORIO CONTIENE: BENZONATATO 50 MG ENVASE CON6 SUPOSITORIOS.</v>
          </cell>
          <cell r="U351">
            <v>26736</v>
          </cell>
          <cell r="V351">
            <v>66839</v>
          </cell>
        </row>
        <row r="352">
          <cell r="A352">
            <v>349</v>
          </cell>
          <cell r="B352" t="str">
            <v>010.000.2462.00</v>
          </cell>
          <cell r="E352" t="str">
            <v>Ambroxol. Comprimido Cada Comprimido contiene: Clorhidrato de ambroxol 30 mg Envase con 20 Comprimidos.</v>
          </cell>
          <cell r="U352">
            <v>2473892</v>
          </cell>
          <cell r="V352">
            <v>6184727</v>
          </cell>
        </row>
        <row r="353">
          <cell r="A353">
            <v>350</v>
          </cell>
          <cell r="B353" t="str">
            <v>010.000.2463.00</v>
          </cell>
          <cell r="E353" t="str">
            <v>Ambroxol. Solución Cada 100 ml contienen: Clorhidrato de ambroxol 300 mg Envase con 120 ml y dosificador.</v>
          </cell>
          <cell r="U353">
            <v>5714723</v>
          </cell>
          <cell r="V353">
            <v>14286805</v>
          </cell>
        </row>
        <row r="354">
          <cell r="A354">
            <v>351</v>
          </cell>
          <cell r="B354" t="str">
            <v>010.000.2471.00</v>
          </cell>
          <cell r="E354" t="str">
            <v>CLORFENAMINA COMPUESTA TABLETA CADA TABLETA CONTIENE PARACETAMOL 500 MG,CAFEINA 25 MG, CLORHIDRATO DE FENILEFRINA 5 MG, MALEATO DE CLORFENAMINA 4 MG,ENVASE CON 10 TABLETAS.</v>
          </cell>
          <cell r="U354">
            <v>4320646</v>
          </cell>
          <cell r="V354">
            <v>10801611</v>
          </cell>
        </row>
        <row r="355">
          <cell r="A355">
            <v>352</v>
          </cell>
          <cell r="B355" t="str">
            <v>010.000.2482.00</v>
          </cell>
          <cell r="E355" t="str">
            <v>Prednisolona. Solución Oral Cada 100 ml contienen: Fosfato sódico de prednisolona equivalente a 100 mg de prednisolona. Envase con frasco de 100 ml y vaso graduado de 20 ml.</v>
          </cell>
          <cell r="U355">
            <v>57986</v>
          </cell>
          <cell r="V355">
            <v>144962</v>
          </cell>
        </row>
        <row r="356">
          <cell r="A356">
            <v>353</v>
          </cell>
          <cell r="B356" t="str">
            <v>010.000.2501.00</v>
          </cell>
          <cell r="E356" t="str">
            <v>ENALAPRIL. CÁPSULA O TABLETA Cada cápsula o tableta contiene: Maleato de enalapril 10 mg. Envase con 30 cápsulas o tabletas.</v>
          </cell>
          <cell r="U356">
            <v>7392215</v>
          </cell>
          <cell r="V356">
            <v>18480535</v>
          </cell>
        </row>
        <row r="357">
          <cell r="A357">
            <v>354</v>
          </cell>
          <cell r="B357" t="str">
            <v>010.000.2505.00</v>
          </cell>
          <cell r="E357" t="str">
            <v>Sodio bicarbonato de-potasio cloruro de. Tableta Efervescente Cada Tableta contiene: Bicarbonato de sodio 500 mg Cloruro de Potasio 375 mg Envase con 30 Tabletas.</v>
          </cell>
          <cell r="U357">
            <v>260</v>
          </cell>
          <cell r="V357">
            <v>650</v>
          </cell>
        </row>
        <row r="358">
          <cell r="A358">
            <v>355</v>
          </cell>
          <cell r="B358" t="str">
            <v>010.000.2508.00</v>
          </cell>
          <cell r="E358" t="str">
            <v>Beclometasona Dipropionato de. Suspensión en aerosol. Cada Inhalación contiene: Dipropionato de Beclometasona 250 µg Envase con dispositivo inhalador para 200 dosis</v>
          </cell>
          <cell r="U358">
            <v>337114</v>
          </cell>
          <cell r="V358">
            <v>842785</v>
          </cell>
        </row>
        <row r="359">
          <cell r="A359">
            <v>356</v>
          </cell>
          <cell r="B359" t="str">
            <v>010.000.2509.00</v>
          </cell>
          <cell r="E359" t="str">
            <v>BENZATINA BENCILPENICILINA. SUSPENSIÓN INYECTABLE CADA FRASCO ÁMPULA CON POLVO CONTIENE: BENZATINA BENCILPENICILINA EQUIVALENTE A 2 400 000 UI DE BENCILPENICILINA. ENVASE CON UN FRASCO ÁMPULA Y 5 ML DE DILUYENTE.</v>
          </cell>
          <cell r="U359">
            <v>2</v>
          </cell>
          <cell r="V359">
            <v>3</v>
          </cell>
        </row>
        <row r="360">
          <cell r="A360">
            <v>357</v>
          </cell>
          <cell r="B360" t="str">
            <v>010.000.2512.00</v>
          </cell>
          <cell r="E360" t="str">
            <v>Aminoácidos cristalinos solución inyectable al 10% pediátricos. Cada 100 ml contiene: L- Isoleucina Unidad: mg Mínimo: 670 Máximo: 820. L- Leucina Unidad: mg Mínimo: 1000 Máximo: 1400. L- Lisina Unidad: mg Mínimo: 670 Máximo: 1100. L- Metionina Unidad: mg Mínimo: 220 Máximo: 340. L- Fenilalanina Unidad: mg Mínimo: 420 Máximo: 650. L- Treonina Unidad: mg Mínimo: 370 Máximo: 512. L- Triptófano Unidad: mg Mínimo: 180 Máximo: 200. L- Valina Unidad: mg Mínimo: 670 Máximo: 1230. L- Histidina Unidad: mg Mínimo: 310 Máximo: 480. L- Cisteína Unidad: mg Mínimo: 16 Máximo: 250. L- Tirosina Unidad: mg Mínimo: 44 Máximo: 240. L- Alanina Unidad: mg Mínimo: 540 Máximo: 800. L- Arginina Unidad: mg Mínimo: 840 Máximo: 1230. L- Prolina Unidad: mg Mínimo: 300 Máximo: 820. L- Serina Unidad: mg Mínimo: 380 Máximo: 500. Glicina (Ac. Aminoacético) Unidad: mg Mínimo: 360 Máximo: 400. Ácido L- Aspártico Unidad: mg Mínimo: 320 Máximo: 600. Ácido L- Glutámico Unidad: mg Mínimo: 500 Máximo: 1000. Taurina Unidad: mg Mínimo: 25 Máximo: 70. Ornitina Unidad: mg Mínimo: 0 Máximo: 250. * Prosulfito o disulfito de sodio Unidad: mg Mínimo: 0 Máximo: 50. *Cloruros Unidad: Mmol Mínimo: 0 Máximo: 16. * Agua inyectable Unidad: ml Mínimo: 0 Máximo: 100. Aminoácidos Totales Unidad: g/l Mínimo: 98 Máximo: 100. Nitrógeno total Unidad: g/l Mínimo: 15 Máximo: 15.68. *Pueden o no venir en la fórmula lo cual no modifica el efecto terapéutico deseado. Presentación de 250 ml.</v>
          </cell>
          <cell r="U360">
            <v>14919</v>
          </cell>
          <cell r="V360">
            <v>37295</v>
          </cell>
        </row>
        <row r="361">
          <cell r="A361">
            <v>358</v>
          </cell>
          <cell r="B361" t="str">
            <v>010.000.2512.01</v>
          </cell>
          <cell r="E361" t="str">
            <v>AMINOACIDOS CRISTALINOS SOLUCIÓN INYECTABLE AL 10% FRASCO DE 500 ML
 Pediátricos</v>
          </cell>
          <cell r="U361">
            <v>26712</v>
          </cell>
          <cell r="V361">
            <v>66778</v>
          </cell>
        </row>
        <row r="362">
          <cell r="A362">
            <v>359</v>
          </cell>
          <cell r="B362" t="str">
            <v>010.000.2520.00</v>
          </cell>
          <cell r="E362" t="str">
            <v>Losartán. Gragea o comprimido recubierto. Cada gragea o comprimido recubierto contiene: Losartán potásico 50 mg. Envase con 30 grageas o comprimidos recubiertos.</v>
          </cell>
          <cell r="U362">
            <v>30448558</v>
          </cell>
          <cell r="V362">
            <v>76121394</v>
          </cell>
        </row>
        <row r="363">
          <cell r="A363">
            <v>360</v>
          </cell>
          <cell r="B363" t="str">
            <v>010.000.2521.00</v>
          </cell>
          <cell r="E363" t="str">
            <v>LOSARTÁN E HIDROCLOROTIAZIDA. GRAGEA O COMPRIMIDO RECUBIERTO CADA GRAGEA O COMPRIMIDO RECUBIERTO CONTIENE: LOSARTÁN POTÁSICO 50.0 MG HIDROCLOROTIAZIDA 12.5 MG ENVASE CON 30 GRAGEAS O COMPRIMIDOS RECUBIERTOS.</v>
          </cell>
          <cell r="U363">
            <v>930132</v>
          </cell>
          <cell r="V363">
            <v>2325330</v>
          </cell>
        </row>
        <row r="364">
          <cell r="A364">
            <v>361</v>
          </cell>
          <cell r="B364" t="str">
            <v>010.000.2523.00</v>
          </cell>
          <cell r="E364" t="str">
            <v>NITAZOXANIDA. GRAGEA O TABLETA RECUBIERTA CADA GRAGEA O TABLETA RECUBIERTA CONTIENE: NITAZOXANIDA 500 MG ENVASE CON 6 GRAGEAS O TABLETAS RECUBIERTAS</v>
          </cell>
          <cell r="U364">
            <v>362370</v>
          </cell>
          <cell r="V364">
            <v>905921</v>
          </cell>
        </row>
        <row r="365">
          <cell r="A365">
            <v>362</v>
          </cell>
          <cell r="B365" t="str">
            <v>010.000.2523.01</v>
          </cell>
          <cell r="E365" t="str">
            <v>NITAZOXANIDA. GRAGEA O TABLETA RECUBIERTA CADA GRAGEA O TABLETA RECUBIERTA CONTIENE: NITAZOXANIDA 500 MG ENVASE CON 10 GRAGEAS O TABLETAS RECUBIERTAS</v>
          </cell>
          <cell r="U365">
            <v>5</v>
          </cell>
          <cell r="V365">
            <v>10</v>
          </cell>
        </row>
        <row r="366">
          <cell r="A366">
            <v>363</v>
          </cell>
          <cell r="B366" t="str">
            <v>010.000.2523.02</v>
          </cell>
          <cell r="E366" t="str">
            <v>Nitazoxanida. Gragea o Tableta ReCubierta Cada Gragea o Tableta ReCubierta contiene: Nitazoxanida 500 mg Envase con 14 Grageas o Tabletas ReCubiertas</v>
          </cell>
          <cell r="U366">
            <v>93</v>
          </cell>
          <cell r="V366">
            <v>230</v>
          </cell>
        </row>
        <row r="367">
          <cell r="A367">
            <v>364</v>
          </cell>
          <cell r="B367" t="str">
            <v>010.000.2524.01</v>
          </cell>
          <cell r="E367" t="str">
            <v>NITAZOXANIDA. SUSPENSIÓN ORAL CADA 5 ML CONTIENEN NITAZOXANIDA 100 MG ENVASE CON 60 ML</v>
          </cell>
          <cell r="U367">
            <v>31156</v>
          </cell>
          <cell r="V367">
            <v>77890</v>
          </cell>
        </row>
        <row r="368">
          <cell r="A368">
            <v>365</v>
          </cell>
          <cell r="B368" t="str">
            <v>010.000.2524.02</v>
          </cell>
          <cell r="E368" t="str">
            <v>NITAZOXANIDA. SUSPENSION ORAL CADA 5 ML CONTIENEN NITAZOXANIDA 100 MG ENVASE CON100 ML.</v>
          </cell>
          <cell r="U368">
            <v>4960</v>
          </cell>
          <cell r="V368">
            <v>12396</v>
          </cell>
        </row>
        <row r="369">
          <cell r="A369">
            <v>366</v>
          </cell>
          <cell r="B369" t="str">
            <v>010.000.2530.00</v>
          </cell>
          <cell r="E369" t="str">
            <v>Candesartán cilexetilo-hidroclorotiazida. Tableta Cada Tableta contiene: Candesartán Cilexetilo 16.0 mg Hidroclorotiazida 12.5 mg Envase con 28 Tabletas.</v>
          </cell>
          <cell r="U369">
            <v>35467</v>
          </cell>
          <cell r="V369">
            <v>88666</v>
          </cell>
        </row>
        <row r="370">
          <cell r="A370">
            <v>367</v>
          </cell>
          <cell r="B370" t="str">
            <v>010.000.2540.00</v>
          </cell>
          <cell r="E370" t="str">
            <v>Telmisartán. Tableta Cada Tableta contiene: Telmisartán 40 mg Envase con 30 Tabletas.</v>
          </cell>
          <cell r="U370">
            <v>13563216</v>
          </cell>
          <cell r="V370">
            <v>33908036</v>
          </cell>
        </row>
        <row r="371">
          <cell r="A371">
            <v>368</v>
          </cell>
          <cell r="B371" t="str">
            <v>010.000.2542.00</v>
          </cell>
          <cell r="E371" t="str">
            <v>Telmisartán hidroclorotiazida. Tableta o cápsula. Cada Tableta o cápsula contiene: Telmisartán 80.0 mg Hidroclorotiazida 12.5 mg Envase con 14 Tabletas o cápsulas.</v>
          </cell>
          <cell r="U371">
            <v>8531432</v>
          </cell>
          <cell r="V371">
            <v>21328578</v>
          </cell>
        </row>
        <row r="372">
          <cell r="A372">
            <v>369</v>
          </cell>
          <cell r="B372" t="str">
            <v>010.000.2545.00</v>
          </cell>
          <cell r="E372" t="str">
            <v>Carvedilol. Tableta. Cada tableta contiene: Carvedilol 6.250 mg Envase con 14 Tabletas.</v>
          </cell>
          <cell r="U372">
            <v>564386</v>
          </cell>
          <cell r="V372">
            <v>1410963</v>
          </cell>
        </row>
        <row r="373">
          <cell r="A373">
            <v>370</v>
          </cell>
          <cell r="B373" t="str">
            <v>010.000.2606.00</v>
          </cell>
          <cell r="E373" t="str">
            <v>PRIMIDONA. TABLETA CADA TABLETA CONTIENE: PRIMIDONA 250 MG ENVASE CON 50 TABLETAS.</v>
          </cell>
          <cell r="U373">
            <v>84894</v>
          </cell>
          <cell r="V373">
            <v>212233</v>
          </cell>
        </row>
        <row r="374">
          <cell r="A374">
            <v>371</v>
          </cell>
          <cell r="B374" t="str">
            <v>010.000.2610.00</v>
          </cell>
          <cell r="E374" t="str">
            <v>Fenitoína. Tableta Cada Tableta contiene: Fenitoína sódica 30 mg Envase con 50 Tabletas.</v>
          </cell>
          <cell r="U374">
            <v>80</v>
          </cell>
          <cell r="V374">
            <v>200</v>
          </cell>
        </row>
        <row r="375">
          <cell r="A375">
            <v>372</v>
          </cell>
          <cell r="B375" t="str">
            <v>010.000.2611.00</v>
          </cell>
          <cell r="E375" t="str">
            <v>FENIOTINA. SUSPENSIÓN ORAL
  Cada 5 mL contienen:
  Fenitoína 37.5 mg.
  Envase con 120 Ml</v>
          </cell>
          <cell r="U375">
            <v>139879</v>
          </cell>
          <cell r="V375">
            <v>349697</v>
          </cell>
        </row>
        <row r="376">
          <cell r="A376">
            <v>373</v>
          </cell>
          <cell r="B376" t="str">
            <v>010.000.2616.00</v>
          </cell>
          <cell r="E376" t="str">
            <v>Levetiracetam. Solución Oral Cada 100 ml contienen: Levetiracetam 10 g Envase con 300 ml (100 mg/ml)</v>
          </cell>
          <cell r="U376">
            <v>65443</v>
          </cell>
          <cell r="V376">
            <v>163606</v>
          </cell>
        </row>
        <row r="377">
          <cell r="A377">
            <v>374</v>
          </cell>
          <cell r="B377" t="str">
            <v>010.000.2617.00</v>
          </cell>
          <cell r="E377" t="str">
            <v>Levetiracetam. Tableta Cada Tableta contiene: Levetiracetam 500 mg Envase con 60 Tabletas.</v>
          </cell>
          <cell r="U377">
            <v>595368</v>
          </cell>
          <cell r="V377">
            <v>1488416</v>
          </cell>
        </row>
        <row r="378">
          <cell r="A378">
            <v>375</v>
          </cell>
          <cell r="B378" t="str">
            <v>010.000.2618.00</v>
          </cell>
          <cell r="E378" t="str">
            <v>Levetiracetam. Tableta Cada Tableta contiene: Levetiracetam 1 000 mg Envase con 30 Tabletas.</v>
          </cell>
          <cell r="U378">
            <v>1001691</v>
          </cell>
          <cell r="V378">
            <v>2504225</v>
          </cell>
        </row>
        <row r="379">
          <cell r="A379">
            <v>376</v>
          </cell>
          <cell r="B379" t="str">
            <v>010.000.2620.00</v>
          </cell>
          <cell r="E379" t="str">
            <v>Ácido valproico. Cápsula Cada Cápsula contiene: Ácido valproico 250 mg Envase con 60 Cápsulas.</v>
          </cell>
          <cell r="U379">
            <v>61020</v>
          </cell>
          <cell r="V379">
            <v>152548</v>
          </cell>
        </row>
        <row r="380">
          <cell r="A380">
            <v>377</v>
          </cell>
          <cell r="B380" t="str">
            <v>010.000.2622.00</v>
          </cell>
          <cell r="E380" t="str">
            <v>Valproato de magnesio. Tableta con cubierta o capa entérica o tableta de liberación retardada. Cada tableta contiene: Valproato de magnesio 200 mg equivalente a 185.6 mg de ácido valproico ó Valproato de magnesio 200 mg Envase con 40 tabletas.</v>
          </cell>
          <cell r="U380">
            <v>2094717</v>
          </cell>
          <cell r="V380">
            <v>5236789</v>
          </cell>
        </row>
        <row r="381">
          <cell r="A381">
            <v>378</v>
          </cell>
          <cell r="B381" t="str">
            <v>010.000.2623.00</v>
          </cell>
          <cell r="E381" t="str">
            <v>Valproato de magnesio. Solución Cada ml contiene: Valproato de magnesio equivalente a 186 mg de ácido valproico. Envase con 40 ml.</v>
          </cell>
          <cell r="U381">
            <v>376870</v>
          </cell>
          <cell r="V381">
            <v>942171</v>
          </cell>
        </row>
        <row r="382">
          <cell r="A382">
            <v>379</v>
          </cell>
          <cell r="B382" t="str">
            <v>010.000.2624.00</v>
          </cell>
          <cell r="E382" t="str">
            <v>Fenitoína. Solución Inyectable Cada ampolleta contiene: Fenitoína sódica 250 mg Envase con una ampolleta (250 mg/5 ml)</v>
          </cell>
          <cell r="U382">
            <v>1380128</v>
          </cell>
          <cell r="V382">
            <v>3450318</v>
          </cell>
        </row>
        <row r="383">
          <cell r="A383">
            <v>380</v>
          </cell>
          <cell r="B383" t="str">
            <v>010.000.2626.00</v>
          </cell>
          <cell r="E383" t="str">
            <v>Oxcarbazepina. Gragea o Tableta Cada Gragea o Tableta contiene: oxcarbazepina 300 mg Envase con 20 Grageas o Tabletas.</v>
          </cell>
          <cell r="U383">
            <v>91456</v>
          </cell>
          <cell r="V383">
            <v>228638</v>
          </cell>
        </row>
        <row r="384">
          <cell r="A384">
            <v>381</v>
          </cell>
          <cell r="B384" t="str">
            <v>010.000.2627.00</v>
          </cell>
          <cell r="E384" t="str">
            <v>Oxcarbazepina. Gragea o Tableta Cada Gragea o Tableta contiene oxcarbazepina 600 mg Envase con 20 Grageas o Tabletas.</v>
          </cell>
          <cell r="U384">
            <v>545300</v>
          </cell>
          <cell r="V384">
            <v>1363248</v>
          </cell>
        </row>
        <row r="385">
          <cell r="A385">
            <v>382</v>
          </cell>
          <cell r="B385" t="str">
            <v>010.000.2630.00</v>
          </cell>
          <cell r="E385" t="str">
            <v>Valproato semisódico. Tableta de liberación prolongada. Cada tableta de liberación prolongada contiene: Valproato semisódico equivalente a 500 mg de ácido valproico Envase con 30 Tabletas de Liberación Prolongada.</v>
          </cell>
          <cell r="U385">
            <v>146556</v>
          </cell>
          <cell r="V385">
            <v>366388</v>
          </cell>
        </row>
        <row r="386">
          <cell r="A386">
            <v>383</v>
          </cell>
          <cell r="B386" t="str">
            <v>010.000.2649.00</v>
          </cell>
          <cell r="E386" t="str">
            <v>PRAMIPEXOL. TABLETA CADA TABLETA CONTIENE DICLORHIDRATO DE PRAMIPEXOL MONOHIDRATADO 0.5 MG ENVASE CON 30 TABLETAS.</v>
          </cell>
          <cell r="U386">
            <v>453366</v>
          </cell>
          <cell r="V386">
            <v>1133414</v>
          </cell>
        </row>
        <row r="387">
          <cell r="A387">
            <v>384</v>
          </cell>
          <cell r="B387" t="str">
            <v>010.000.2650.00</v>
          </cell>
          <cell r="E387" t="str">
            <v>Pramipexol. Tableta Cada Tableta contiene Diclorhidrato de pramipexol Monohidratado 1.0 mg Envase con 30 Tabletas.</v>
          </cell>
          <cell r="U387">
            <v>119467</v>
          </cell>
          <cell r="V387">
            <v>298666</v>
          </cell>
        </row>
        <row r="388">
          <cell r="A388">
            <v>385</v>
          </cell>
          <cell r="B388" t="str">
            <v>010.000.2655.00</v>
          </cell>
          <cell r="E388" t="str">
            <v>Entacapona levodopa carbidopa. Tableta Cada Tableta contiene: Entacapona 200 mg Levodopa 50 mg Carbidopa monohidratada equivalente a 12.5 mg de carbidopa Envase con 30 Tabletas.</v>
          </cell>
          <cell r="U388">
            <v>2963</v>
          </cell>
          <cell r="V388">
            <v>7405</v>
          </cell>
        </row>
        <row r="389">
          <cell r="A389">
            <v>386</v>
          </cell>
          <cell r="B389" t="str">
            <v>010.000.2662.00</v>
          </cell>
          <cell r="E389" t="str">
            <v>Piridostigmina. Gragea o Tableta Cada Gragea o Tableta contiene: Bromuro de piridostigmina 60 mg Envase con 20 Grageas.</v>
          </cell>
          <cell r="U389">
            <v>408890</v>
          </cell>
          <cell r="V389">
            <v>1022223</v>
          </cell>
        </row>
        <row r="390">
          <cell r="A390">
            <v>387</v>
          </cell>
          <cell r="B390" t="str">
            <v>010.000.2707.00</v>
          </cell>
          <cell r="E390" t="str">
            <v>ÁCIDO ASCÓRBICO. TABLETA CADA TABLETA CONTIENE: ÁCIDO ASCÓRBICO 100 MG ENVASE CON 20 TABLETAS.</v>
          </cell>
          <cell r="U390">
            <v>1838282</v>
          </cell>
          <cell r="V390">
            <v>4595705</v>
          </cell>
        </row>
        <row r="391">
          <cell r="A391">
            <v>388</v>
          </cell>
          <cell r="B391" t="str">
            <v>010.000.2709.00</v>
          </cell>
          <cell r="E391" t="str">
            <v>Vitaminas y minerales. Suspensión o Solución Oral Cada 100 ml contienen: Clorhidrato de tiamina equivalente a 110.0 mg de tiamina Riboflavina 5-fosfato sódica Equivalente a 120.0 mg de riboflavina Clorhidrato de piridoxina equivalente a 150.0 mg de piridoxina Cianocobalamina 0.11 mg Acido fólico 7500 µg Acido ascórbico 6000 mg Sulfato ferroso desecado equivalente a 2000 mg de fierro Sulfato de zinc monohidratado equivalente a 2000 mg de zinc Envase con frasco gotero de 30 ml.</v>
          </cell>
          <cell r="U391">
            <v>239578</v>
          </cell>
          <cell r="V391">
            <v>598943</v>
          </cell>
        </row>
        <row r="392">
          <cell r="A392">
            <v>389</v>
          </cell>
          <cell r="B392" t="str">
            <v>010.000.2710.00</v>
          </cell>
          <cell r="E392" t="str">
            <v>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v>
          </cell>
          <cell r="U392">
            <v>222674</v>
          </cell>
          <cell r="V392">
            <v>556683</v>
          </cell>
        </row>
        <row r="393">
          <cell r="A393">
            <v>390</v>
          </cell>
          <cell r="B393" t="str">
            <v>010.000.2711.00</v>
          </cell>
          <cell r="E393" t="str">
            <v>Vitaminas y minerales. Solución Oral. Cada 100 ml contienen: Rivoflavina 5-fosfato de sodio equivalente a 0.060 g de riboflavina (vitamina B2). Clorhidrato de tiamina (vitamina B1) 0.055 g. Clorhidrato de piridoxina (vitamina B6) 0.075 g. Cianocobalamina (vitamina B12) 0.055 mg. Acido fólico 3.750 mg. Acido ascórbico (vitamina C) 3.0 g. Sulfato ferroso heptahidratado (4.978 g) equivalente a 1.0 g de hierro elemental. Sulfato de zinc monohidratado (2.744 g)equivalente a 1.0 gde zinc elemental. Envase con 60 ml y gotero de 2 ml.</v>
          </cell>
          <cell r="U393">
            <v>234356</v>
          </cell>
          <cell r="V393">
            <v>585886</v>
          </cell>
        </row>
        <row r="394">
          <cell r="A394">
            <v>391</v>
          </cell>
          <cell r="B394" t="str">
            <v>010.000.2712.00</v>
          </cell>
          <cell r="E394" t="str">
            <v>Vitaminas y minerales. Cápsula de Gelatina blanda. Cada cápsula de gelatina blanda contiene: Monohidrato de tiamina (vitamina B1) 2.4 mg. Riboflavina (vitamina B2) 2.7 mg. Clorhidrato de piridoxina (vitamina B6) 3.2 mg. Cianocobalamina (vitamina B12) 3.9 µg. Acido fólico 420.0 µg. Acido ascórbico (vitamina C) 143.0 mg. Sulfato ferroso anhidro (equivalente a 30.0 mg de hierro) 81.6 mg. Sulfato de cobre anhidro(equivalente a 2.3 mg de cobre) 5.77 mg. Sulfato de zinc anhidro(equivalente a 38.0 mg de zinc) 93.83 mg. Envase con 30 cápsulas de gelatina blanda.</v>
          </cell>
          <cell r="U394">
            <v>188494</v>
          </cell>
          <cell r="V394">
            <v>471232</v>
          </cell>
        </row>
        <row r="395">
          <cell r="A395">
            <v>392</v>
          </cell>
          <cell r="B395" t="str">
            <v>010.000.2714.00</v>
          </cell>
          <cell r="E395" t="str">
            <v>Complejo b. Tableta Comprimido o Cápsula. Cada tableta Comprimido o Cápsula contiene: Mononitrato o clorhidrato de Tiamina 100 mg. Clorhidrato de piridoxina 5 mg. Cianocobalamina 50 µg Envase con 30 Tabletas Comprimidos o Cápsulas.</v>
          </cell>
          <cell r="U395">
            <v>17913516</v>
          </cell>
          <cell r="V395">
            <v>44783788</v>
          </cell>
        </row>
        <row r="396">
          <cell r="A396">
            <v>393</v>
          </cell>
          <cell r="B396" t="str">
            <v>010.000.2715.00</v>
          </cell>
          <cell r="E396" t="str">
            <v>Vitamina E. Gragea o Cápsula. Cada Gragea o Cápsula contiene: Vitamina E 400 mg. Envase con 100 Grageas o Cápsulas.</v>
          </cell>
          <cell r="U396">
            <v>287620</v>
          </cell>
          <cell r="V396">
            <v>719048</v>
          </cell>
        </row>
        <row r="397">
          <cell r="A397">
            <v>394</v>
          </cell>
          <cell r="B397" t="str">
            <v>010.000.2715.01</v>
          </cell>
          <cell r="E397" t="str">
            <v>VITAMINA E. GRAGEA O CÁPSULA. CADA GRAGEA O CÁPSULA CONTIENE: VITAMINA E 400 MG ENVASE CON 99 GRAGEAS O CÁPSULAS.</v>
          </cell>
          <cell r="U397">
            <v>50</v>
          </cell>
          <cell r="V397">
            <v>125</v>
          </cell>
        </row>
        <row r="398">
          <cell r="A398">
            <v>395</v>
          </cell>
          <cell r="B398" t="str">
            <v>010.000.2716.00</v>
          </cell>
          <cell r="E398" t="str">
            <v>VITAMINAS Y MINERALES. SUSPENSIÓN ORAL CADA 100 ML CONTIENEN: RIVOFLAVINA (VITAMINA B2) 0.18000 G CLORHIDRATO DE TIAMINA (VITAMINA B1) 0.16500 G CLORHIDRATO DE PIRIDOXINA (VITAMINA B6) 0.22500 G ACIDO FÓLICO 0.01125 G ASCORBATO DE SODIO 9.00000 G FUMARATO FERROSO EQUIVALENTE A 2.50000 G DE HIERRO SULFATO DE ZINC EQUIVALENTE A 2.50000 G DE ZINC CIANOCOBALAMINA (VITAMINA B12) 0.16500 MG ENVASE CON FRASCO DE VIDRIO DE 30 ML CON GOTERO INTEGRADO DE 0.5 Y 1.0 ML.</v>
          </cell>
          <cell r="U398">
            <v>365778</v>
          </cell>
          <cell r="V398">
            <v>914443</v>
          </cell>
        </row>
        <row r="399">
          <cell r="A399">
            <v>396</v>
          </cell>
          <cell r="B399" t="str">
            <v>010.000.2717.00</v>
          </cell>
          <cell r="E399" t="str">
            <v>Vitaminas y minerales. Tableta. Cada Tableta contiene: Rivoflavina (vitamina B2) 4.0500 mg. Clorhidrato de tiamina (vitamina B1) 3.6000 mg. Clorhidrato de piridoxina (vitamina B6) 4.8000 mg. Acido fólico 0.6300 mg. Ascorbato de sodio 214.0000 mg. Fumarato ferroso 114.0000 mg (equivalente a 37.500 mg de hierro). Sulfato de zinc 208.8067 mg (equivalente a 47.500 mg de zinc). Sulfato de cobre 12.8993 mg (equivalente a 2.875 mg de cobre). Cianocobalamina(vitamina B12) 0.00585 mg. Envase con 30 Tabletas.</v>
          </cell>
          <cell r="U399">
            <v>518610</v>
          </cell>
          <cell r="V399">
            <v>1296523</v>
          </cell>
        </row>
        <row r="400">
          <cell r="A400">
            <v>397</v>
          </cell>
          <cell r="B400" t="str">
            <v>010.000.2730.00</v>
          </cell>
          <cell r="E400" t="str">
            <v>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2000 ml con tres compartimientos (400 ml para lípidos 800 ml para aminoácidos con electrolitos 800 ml para glucosa con calcio).</v>
          </cell>
          <cell r="U400">
            <v>11524</v>
          </cell>
          <cell r="V400">
            <v>28808</v>
          </cell>
        </row>
        <row r="401">
          <cell r="A401">
            <v>398</v>
          </cell>
          <cell r="B401" t="str">
            <v>010.000.2730.01</v>
          </cell>
          <cell r="E401" t="str">
            <v>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Glicerofosfato de sodio pentahidratado 0.535 g y Cloruro de Potasio 0.448 g Cloruro de sodio 0.118 g Cloruro de magnesio Hexahidratado 0.112 g El compartimiento C de glucosa al 40% y cloruro de calcio: Glucosa monohidratada equivalente a 40.00 g de glucosa anhidra Cloruro de calcio dihidratado 0.075 g. Envase con bolsa de plástico de 1000 ml con tres compartimientos (200 ml para lípidos 400 ml para aminoácidos con electrolitos 400 ml para glucosa con calcio).</v>
          </cell>
          <cell r="U401">
            <v>3732</v>
          </cell>
          <cell r="V401">
            <v>9327</v>
          </cell>
        </row>
        <row r="402">
          <cell r="A402">
            <v>399</v>
          </cell>
          <cell r="B402" t="str">
            <v>010.000.2730.02</v>
          </cell>
          <cell r="E402" t="str">
            <v>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0.112 g El compartimiento de glucosa al 40% y cloruro de calcio: Glucosa monohidratada equivalente a 40.00 g de glucosa anhidra Cloruro de calcio dihidratado 0.075 g. Envase con bolsa de plástico de 1500 ml con tres compartimientos (300 ml para lípidos 600 ml para aminoácidos con electrolitos 600 ml para glucosa con calcio).</v>
          </cell>
          <cell r="U402">
            <v>424</v>
          </cell>
          <cell r="V402">
            <v>1060</v>
          </cell>
        </row>
        <row r="403">
          <cell r="A403">
            <v>400</v>
          </cell>
          <cell r="B403" t="str">
            <v>010.000.2730.03</v>
          </cell>
          <cell r="E403" t="str">
            <v>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2500 ml con tres compartimientos (500 ml para lípidos 1000 ml para aminoácidos con electrolitos 1000 ml para glucosa con calcio).</v>
          </cell>
          <cell r="U403">
            <v>12</v>
          </cell>
          <cell r="V403">
            <v>30</v>
          </cell>
        </row>
        <row r="404">
          <cell r="A404">
            <v>401</v>
          </cell>
          <cell r="B404" t="str">
            <v>010.000.2731.00</v>
          </cell>
          <cell r="E404" t="str">
            <v>Lípidos intravenosos. Emulsion inyectable (lípidos de cadena larga al 10%; soya o soya cartamo) cada 500 ml contienen: Aceite de soya: 50 g o mezcla de aceite de soya - aceite de cártamo 25g/25g. Cada mililitro proporciona 1.1 kcal. Envase con 500 ml.</v>
          </cell>
          <cell r="U404">
            <v>1667</v>
          </cell>
          <cell r="V404">
            <v>4167</v>
          </cell>
        </row>
        <row r="405">
          <cell r="A405">
            <v>402</v>
          </cell>
          <cell r="B405" t="str">
            <v>010.000.2733.00</v>
          </cell>
          <cell r="E405" t="str">
            <v>Nutrición parenteral. Emulsión Inyectable Cada 100 ml contienen: En el compartimiento de emulsión de lípidos al 20% Aceite purificado de soya y/o de Oliva 20.00 g. En el compartimiento de aminoácidos al 7 % con electrolitos: L-alanina 1.449 a 1.450 g. L-arginina 0.805 g. Glicina 0.721 a 0.722 g. L-histidina 0.335 a 0.336 g. L-isoleucina 0.420 g. L-leucina 0.511 a 0.512 g. Clorhidrato de L-lisina equivalente a 0.405 a 0.406 g de L-lisina L-metionina 0.280 g. L-fenilalanina 0.392 g. L-prolina 0.475 a 0.476 g. L-serina 0.350 g. L-treonina 0.294 a 0.295 g. L-triptofano 0.125 a 0.126 g. L-tirosina 0.028 g. L-valina 0.405 a 0.406 g. Acetato de sodio trihidratado 0.515 a 0.612 g. Fosfato dipotásico 0.522 g oGlicerofosfato de sodio pentahidratado 0.535 g y Cloruro de Potasio 0.448 g. Cloruro de sodio 0.188 g. Cloruro de magnesio hexahidratado 0.103 a 0.112 g. El compartimiento de glucosa al 25% y cloruro de calcio: Glucosa monohidratada equivalente a 25.00 g deglucosa anhidra. Cloruro de calcio dihidratado 0.066 a 0.075 g. Envase con bolsa de plástico de 2000 ml con tres compartimientos (400 ml para lípidos 800 ml para aminoácidos con electrolitos 800 ml para glucosa con calcio).</v>
          </cell>
          <cell r="U405">
            <v>5424</v>
          </cell>
          <cell r="V405">
            <v>13559</v>
          </cell>
        </row>
        <row r="406">
          <cell r="A406">
            <v>403</v>
          </cell>
          <cell r="B406" t="str">
            <v>010.000.2734.00</v>
          </cell>
          <cell r="E406" t="str">
            <v>NUTRICION PARENTERAL. EMULSION INYECTABLE CADA 100 ML CONTIENEN: EN EL COMPARTIMIENTO DE EMULSION DE LIPIDOS AL 20%. ACEITE PURIFICADO DE SOYA Y/O DE OLIVA 20.00 G. EN EL COMPARTIMIENTO DE AMINOACIDOS AL 8.5% CON ELECTROLITOS: L-ALANINA1.760 G.L-ARGININA 0.978 G. GLICINA 0.875 A 0.876 G. L-HISTIDINA 0.408 G. L-ISOLEUCINA 0.510 G. L-LEUCINA 0.620 A 0.621 G. CLORHIDRATO DE L-LISINA EQUIVALENTEA 0.492 A 0.493 G. DE L-LISINA L-METIONINA 0.340 G. L-FENILALANINA 0.475 A 0.476 G. L-PROLINA 0.578 G. L-SERINA 0.425 G. L-TREONINA 0.357 A 0.358 G. L-TRIPTOFANO 0.152 A 0.153 G. L-TIROSINA 0.034 0.035 G. L-VALINA 0.492 A 0.493 G. ACETATO DE SODIO TRIHIDRATADO 0.594 A 0.612 G. FOSFATO DIPOTASICO 0.522 G O GLICEROFOSFATO DE SODIO PENTAHIDRATADO 0.535 G Y CLORURO DE POTASIO 0.448 G. CLORURO DESODIO 0.154 G CLORURO DE MAGNESIO HEXAHIDRATADO 0.102 A 0.112 G. EL COMPARTIMIENTO DE GLUCOSA AL 30% Y CLORURO DE CALCIO: GLUCOSA MONOHIDRATADA EQUIVALENTE A30.00 G DE GLUCOSA ANHIDRA CLORURO DE CALCIO DIHIDRATADO 0.066 A 0.075 G. ENVASE CON BOLSA DE PLASTICO DE 2000 ML CON TRES COMPARTIMIENTOS (400 ML PARA LIPIDOS 800 ML PARA AMINOACIDOS CON ELECTROLITOS 800 ML PARA GLUCOSA CON CALCIO).</v>
          </cell>
          <cell r="U406">
            <v>10880</v>
          </cell>
          <cell r="V406">
            <v>27196</v>
          </cell>
        </row>
        <row r="407">
          <cell r="A407">
            <v>404</v>
          </cell>
          <cell r="B407" t="str">
            <v>010.000.2736.00</v>
          </cell>
          <cell r="E407" t="str">
            <v>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6 sobres con 79.5 a 80.4 g cada uno.</v>
          </cell>
          <cell r="U407">
            <v>12824</v>
          </cell>
          <cell r="V407">
            <v>32057</v>
          </cell>
        </row>
        <row r="408">
          <cell r="A408">
            <v>405</v>
          </cell>
          <cell r="B408" t="str">
            <v>010.000.2736.01</v>
          </cell>
          <cell r="E408" t="str">
            <v>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10 SOBRES CON 79.5 A 80.4 G CADA UNO.</v>
          </cell>
          <cell r="U408">
            <v>30024</v>
          </cell>
          <cell r="V408">
            <v>75058</v>
          </cell>
        </row>
        <row r="409">
          <cell r="A409">
            <v>406</v>
          </cell>
          <cell r="B409" t="str">
            <v>010.000.2737.00</v>
          </cell>
          <cell r="E409" t="str">
            <v>AMINOACIDOS CON ELECTROLITOS SOLUCION INYECTABLE AL 8.5% CADA 100 ML. CONTIENEL-ISOLEUCINA UNIDAD EN MILIGRAMOS: MINIMO 400, MAXIMO 620. L-LEUCINA UNIDAD ENMILIGRAMOS: MINIMO 520, MAXIMO 810. L-LISINA UNIDAD EN MILIGRAMOS: MINIMO 490,MAXIMO 870. L-METIONINA UNIDAD EN MILIGRAMOS: MINIMO 250, MAXIMO 500. L-FENILALANINA UNIDAD EN MILIGRAMOS: MINIMO 380, MAXIMO 720. L-TREONINA UNIDADEN MILIGRAMOS: MINIMO  340, MAXIMO 460. L-TRIPTOFANO UNIDAD EN MILIGRAMOS:MINIMO 130, MAXIMO 160. L-VALINA UNIDAD EN MILIGRAMOS: MINIMO 390, MAXIMO 680.HISTIDINA UNIDAD EN MILIGRAMOS: MINIMO 240, MAXIMO 380. CISTEINA O CISTINAUNIDAD EN MILIGRAMOS: MINIMO 0, MAXIMO 80. TIROSINA UNIDAD EN MILIGRAMOS:MINIMO 30, MAXIMO 50. L-ALANINA UNIDAD EN MILIGRAMOS: MINIMO 390, MAXIMO 1760.L-ARGININA UNIDAD EN MILIGRAMOS: MINIMO 430, MAXIMO 880. L-PROLINA UNIDAD ENMILIGRAMOS: MINIMO  350, MAXIMO 1000. L-SERINA UNIDAD EN MILIGRAMOS: MINIMO 0,MAXIMO 930. GLICINA (ACIDO AMINOACETICO) UNIDAD EN MILIGRAMOS: MINIMO 460,MAXIMO 1760. L-TAURINA UNIDAD EN MILIGRAMOS: MINIMO 0, MAXIMO 200. ACETATO DESODIO UNIDAD EN MILIEQUIVALENTES POR LITRO: MINIMO 70, MAXIMO 594.POTASIOUNIDAD EN MILIEQUIVALENTES POR LITRO: MINIMO 60, MAXIMO 66. CLORURO DEMAGNESIO UNIDAD EN MILIGRAMOS: MINIMO 0, MAXIMO 102. CLORURO DE SODIO UNIDADEN MILIGRAMOS: MINIMO 154, MAXIMO 410. FOSFATO DIBASICO DE POTASIO UNIDAD ENMILIGRAMOS: MINIMO 400, MAXIMO 522. * ACIDO L-ASPARTICO UNIDAD EN MILIGRAMOS:MINIMO 0. MAXIMO 410. * ACIDO GLUTAMICO UNIDAD EN MILIGRAMOS: MINIMO 0, MAXIMO710. NITROGENO TOTAL UNIDAD EN GRAMOS POR LITROS: MINIMO 13.5, MAXIMO 16.NOTA: * PUEDEN O NO VENIR EN LA FORMULA, LO CUAL NO MODIFICA EL EFECTOTERAPEUTICO DESEADO. PRESENTACIÓN ENVASE 500 MILILITROS.</v>
          </cell>
          <cell r="U409">
            <v>68114</v>
          </cell>
          <cell r="V409">
            <v>170283</v>
          </cell>
        </row>
        <row r="410">
          <cell r="A410">
            <v>407</v>
          </cell>
          <cell r="B410" t="str">
            <v>010.000.2738.00</v>
          </cell>
          <cell r="E410" t="str">
            <v>Aminoacidos Cristalinos. Solucion Inyectable Al 10% Adultos Cada 100ml Contiene L- Isoleucina Unidad mg Mínimo 490 Máximo 720 L- Leucina Unidad mg Mínimo 719 Máximo 940 L- Lisina Unidad mg Mínimo 599 Máximo 720 L- Metionina Unidad mg Mínimo 294 Máximo 440 L- Fenilalanina Unidad mg Mínimo 440 Máximo 845 L- Treonina Unidad mg Mínimo 414 Máximo 520 L- Triptofano Unidad mg Mínimo 153 Máximo 210 L- Valina Unidad mg Mínimo 572 Máximo 800 Histidina Unidad mg Mínimo 290 Máximo 473 Cisteína o cistina Unidad mg Mínimo 0 Máximo 110 Tirosina Unidad mg Mínimo 0 Máximo 100 L- Alanina Unidad mg Mínimo 458 Máximo 2040 L- Arginina Unidad mg Mínimo 505 Máximo 1134 L- Prolina Unidad mg Mínimo 300 Máximo 1174 L- Serina Unidad mg Mínimo 420 Máximo 1092 L- Taurina Unidad mg Mínimo 0 Máximo 20 Glicina (ac. Aminoacético) Unidad mg Mínimo 540 Máximo 1280 Acido L- Aspártico Unidad mg Mínimo 0 Máximo 481 Acido glutámico Unidad mg Mínimo 0 Máximo 834 Acetato Unidad mEq/l Mínimo 0 Máximo 74 Potasio Unidad mEq/l Mínimo 0 Máximo 0.55 Nitrógeno total. Unidad g/l Mínimo 15.5 Máximo 16.5 Pueden o no venir en la fórmula lo cual no modifica el efecto terapéutico deseado. Presentación 500 ml</v>
          </cell>
          <cell r="U410">
            <v>41814</v>
          </cell>
          <cell r="V410">
            <v>104533</v>
          </cell>
        </row>
        <row r="411">
          <cell r="A411">
            <v>408</v>
          </cell>
          <cell r="B411" t="str">
            <v>010.000.2739.00</v>
          </cell>
          <cell r="E411" t="str">
            <v>Dieta Polimerica A Base De Caseinato De Calcio O Proteinas Grasas Vitaminas Minerales. Polvo Cada 100 gramos contiene: Densidad energética Unidad Kcal/ml Mínimo 0.99 Máximo 1.06 Calorías Unidad Kcal Mínimo 412.5 Máximo 441.7 Hidratos de carbono Unidad g Mínimo 58.50 Máximo 68.00 Proteína: Unidad g Mínimo 15.80 Máximo 17.50 Histidina Unidad g Mínimo 0.40 Máximo 0.5600 Isoleucina Unidad g Mínimo 0.7035 Máximo 1.0135 Leucina Unidad g Mínimo 1.4050 Máximo 1.7670 Lisina Unidad g Mínimo 1.1080 Máximo 1.4525 Metionina Unidad g Mínimo 0.3925 Máximo 0.5256 Fenilalanina Unidad g Mínimo 0.7810 Máximo 0.9450 Treonina Unidad g Mínimo 0.6466 Máximo 0.8050 Triptofano Unidad g Mínimo 0.1833 Máximo 0.2450 Valina Unidad g Mínimo 0.8553 Máximo 1.2950 Arginina Unidad g Mínimo 0.6165 Máximo 0.6650 Acido aspártico Unidad g Mínimo 1.0500 Máximo 1.2310 Serina Unidad g Mínimo 0.8750 Máximo 0.8910 Acido glutámico Unidad g Mínimo 3.0100 Máximo 3.3530 Prolina Unidad g Mínimo 1.4700 Máximo 1.5630 Glicina Unidad g Mínimo 0.2800 Máximo 0.3380 Alanina Unidad g Mínimo 0.4375 Máximo 0.4910 Cistina Unidad g Mínimo 0.0980 Máximo 0.7000 Tirosina Unidad g Mínimo 0.7414 Máximo 1.0150 Grasas Unidad g Mínimo 9.0 Máximo 15.80 Acidos grasos saturados Unidad g Mínimo 0.96 Máximo 2.30 Acido palmítico Unidad g Mínimo 0.67 Máximo 1.77 Acido esteárico Unidad g Mínimo 0.29 Máximo 0.36 Grasos insaturados Unidad g Mínimo 7.20 Máximo 12.62 Linoleico Unidad g Mínimo 5.8 Máximo 8.50 Linolénico Unidad g Mínimo 0.20 Máximo 0.20 Oleico Unidad g Mínimo 1.20 Máximo 4.00 Relación polinsaturados/saturados Unidad g Mínimo 0.11 Máximo 8.20 Colesterol Unidad g Mínimo 0.00 Máximo 0.02 Vitamina A Unidad U.I. Mínimo 1028.0 Máximo 1170.0 Vitamina D Unidad U.I. Mínimo 90.10 Máximo 96.00 Vitamina E Unidad mg Mínimo 10.20 Máximo 15.00 Acido ascórbico Unidad mg Mínimo 20.00 Máximo 68.00 Acido fólico Unidad µg Mínimo 122.00 Máximo 200.00 Tiamina Unidad mg Mínimo 0.70 Máximo 0.72 Riboflavina Unidad mg Mínimo 0.70 Máximo 0.80 Niacina Unidad mg Mínimo 9.00 Máximo 10.00 Vitamina B6 Unidad mg Mínimo 0.90 Máximo 1.00 Vitamina B12 Unidad µg Mínimo 2.70 Máximo 3.10 Biotina Unidad µg Mínimo 61.00 Máximo 150.00 Acido pantoténico Unidad mg Mínimo 2.40 Máximo 5.00 Vitamina K Unidad µg Mínimo 18.00 Máximo 44.10 Colina Unidad mg Mínimo 0.0 Máximo 136.00 Calcio Unidad mg Mínimo 225.20 Máximo 325.20 Fósforo Unidad mg Mínimo 225.20 Máximo 268.80 Yodo Unidad µgMínimo 34.00 Máximo 44.00 Hierro Unidad mg Mínimo 4.10 Máximo 5.00 Magnesio Unidad mg Mínimo 90.10 Máximo 105.00 Cobre Unidad mg Mínimo 0.50 Máximo 0.52 Zinc Unidad mg Mínimo 4.30 Máximo 5.40 Manganeso Unidad mg Mínimo 0.90 Máximo 1.20 Potasio Unidad mg Mínimo 515.00 Máximo 860.00 Sodio Unidad mg Mínimo 130.00 Máximo 360.00 Cloro Unidad mg Mínimo 300.00 Máximo 610.00 Selenio Unidad µg Mínimo 0.0 Máximo 19.00 Cromo Unidad µg Mínimo 0.0 Máximo 22.5 Molibdeno Unidad µg Mínimo 0.0 Máximo 38.00 Envase con 400 - 454 gramos con o sin sabor.</v>
          </cell>
          <cell r="U411">
            <v>1027908</v>
          </cell>
          <cell r="V411">
            <v>2569768</v>
          </cell>
        </row>
        <row r="412">
          <cell r="A412">
            <v>409</v>
          </cell>
          <cell r="B412" t="str">
            <v>010.000.2740.00</v>
          </cell>
          <cell r="E412" t="str">
            <v>Lípidos intravenosos. Emulsión Inyectable (lípidos de cadena mediana y larga al 20%; soya/triglicéridos). Cada 1000 ml contienen: Aceite de soya 100 g. Triglicéridos de cadena mediana 100 g. Cada ml proporciona 1.9 Kcal. Envase con 500 ml.</v>
          </cell>
          <cell r="U412">
            <v>36554</v>
          </cell>
          <cell r="V412">
            <v>91382</v>
          </cell>
        </row>
        <row r="413">
          <cell r="A413">
            <v>410</v>
          </cell>
          <cell r="B413" t="str">
            <v>010.000.2742.01</v>
          </cell>
          <cell r="E413" t="str">
            <v>ALANINA Y LEVOGLUTAMINA. SOLUCION INYECTABLE CADA 100 ML CONTIENEN: N-(2)-L-ALANIL- L-GLUTAMINA 20 G EQUIVALENTE A 8.20 G DE L-ALANINA Y 13.46 G DE L-GLUTAMINA ENVASE CON 100 ML.</v>
          </cell>
          <cell r="U413">
            <v>1166</v>
          </cell>
          <cell r="V413">
            <v>2914</v>
          </cell>
        </row>
        <row r="414">
          <cell r="A414">
            <v>411</v>
          </cell>
          <cell r="B414" t="str">
            <v>010.000.2744.00</v>
          </cell>
          <cell r="E414" t="str">
            <v>Lípidos intravenosos. Emulsión Inyectable (lípidos de cadena larga al 20 %; oliva/soya) Cada 100 ml contienen: Aceite de oliva 16 g. Aceite de soya 4 g. Envase con 500 ml.</v>
          </cell>
          <cell r="U414">
            <v>3694</v>
          </cell>
          <cell r="V414">
            <v>9232</v>
          </cell>
        </row>
        <row r="415">
          <cell r="A415">
            <v>412</v>
          </cell>
          <cell r="B415" t="str">
            <v>010.000.2745.00</v>
          </cell>
          <cell r="E415" t="str">
            <v>LIPIDOS INTRAVENOSOS: ACEITE DE PESCADO (ACIDOS GRASOS) EMULSION INYECTABLECADA 100 ML CONTIENEN: ACEITE DE PESCADO 10.0 G ENVASE CON 50 ML.</v>
          </cell>
          <cell r="U415">
            <v>3257</v>
          </cell>
          <cell r="V415">
            <v>8141</v>
          </cell>
        </row>
        <row r="416">
          <cell r="A416">
            <v>413</v>
          </cell>
          <cell r="B416" t="str">
            <v>010.000.2801.00</v>
          </cell>
          <cell r="E416" t="str">
            <v>Zinc y fenilefrina. Solución Oftálmica Cada ml contiene: Sulfato de Zinc heptahidratado 2.5 mg Clorhidrato de fenilefrina 1.2 mg Envase con gotero integral con 15 ml</v>
          </cell>
          <cell r="U416">
            <v>70220</v>
          </cell>
          <cell r="V416">
            <v>175548</v>
          </cell>
        </row>
        <row r="417">
          <cell r="A417">
            <v>414</v>
          </cell>
          <cell r="B417" t="str">
            <v>010.000.2804.00</v>
          </cell>
          <cell r="E417" t="str">
            <v>NAFAZOLINA. SOLUCIÓN OFTÁLMICA CADA ML CONTIENE: CLORHIDRATO DE NAFAZOLINA 1 MG ENVASE CON GOTERO INTEGRAL CON 15 ML.</v>
          </cell>
          <cell r="U417">
            <v>852575</v>
          </cell>
          <cell r="V417">
            <v>2131436</v>
          </cell>
        </row>
        <row r="418">
          <cell r="A418">
            <v>415</v>
          </cell>
          <cell r="B418" t="str">
            <v>010.000.2806.00</v>
          </cell>
          <cell r="E418" t="str">
            <v>Cromoglicato de sodio. Solución Oftálmica Cada ml contiene: Cromoglicato de sodio 40 mg Envase con gotero integral con 5 ml.</v>
          </cell>
          <cell r="U418">
            <v>641424</v>
          </cell>
          <cell r="V418">
            <v>1603560</v>
          </cell>
        </row>
        <row r="419">
          <cell r="A419">
            <v>416</v>
          </cell>
          <cell r="B419" t="str">
            <v>010.000.2814.00</v>
          </cell>
          <cell r="E419" t="str">
            <v>Hipromelosa. Solución Oftálmica al 0.5% Cada ml contiene: Hipromelosa 5 mg Envase con gotero integral con 15 ml.</v>
          </cell>
          <cell r="U419">
            <v>9715749</v>
          </cell>
          <cell r="V419">
            <v>24289371</v>
          </cell>
        </row>
        <row r="420">
          <cell r="A420">
            <v>417</v>
          </cell>
          <cell r="B420" t="str">
            <v>010.000.2821.00</v>
          </cell>
          <cell r="E420" t="str">
            <v>Cloranfenicol. Solución oftálmica. Cada ml contiene: Cloranfenicol levógiro 5 mg Envase con gotero integral con 15 ml.</v>
          </cell>
          <cell r="U420">
            <v>1334224</v>
          </cell>
          <cell r="V420">
            <v>3335558</v>
          </cell>
        </row>
        <row r="421">
          <cell r="A421">
            <v>418</v>
          </cell>
          <cell r="B421" t="str">
            <v>010.000.2822.00</v>
          </cell>
          <cell r="E421" t="str">
            <v>Cloranfenicol. Ungüento oftálmico. Cada g contiene: Cloranfenicol levógiro 5 mg Envase con 5 g.</v>
          </cell>
          <cell r="U421">
            <v>721449</v>
          </cell>
          <cell r="V421">
            <v>1803621</v>
          </cell>
        </row>
        <row r="422">
          <cell r="A422">
            <v>419</v>
          </cell>
          <cell r="B422" t="str">
            <v>010.000.2823.00</v>
          </cell>
          <cell r="E422" t="str">
            <v>Neomicina polimixina b y gramicidina. Solución Oftálmica Cada ml contiene: Sulfato de Neomicina equivalente a 1.75 mg de Neomicina. Sulfato de Polimixina B equivalente a 5 000 U de Polimixina B. Gramicidina 25 µg Envase con gotero integral con 15 ml.</v>
          </cell>
          <cell r="U422">
            <v>946756</v>
          </cell>
          <cell r="V422">
            <v>2366890</v>
          </cell>
        </row>
        <row r="423">
          <cell r="A423">
            <v>420</v>
          </cell>
          <cell r="B423" t="str">
            <v>010.000.2824.00</v>
          </cell>
          <cell r="E423" t="str">
            <v>NEOMICINA POLIMIXINA B Y BACITRACINA. UNGÜENTO OFTÁLMICO CADA GRAMO CONTIENE: SULFATO DE NEOMICINA EQUIVALENTE A 3.5 MG DE NEOMICINA. SULFATO DE POLIMIXINA B EQUIVALENTE A 5 000 U DE POLIMIXINA B BACITRACINA 400 U ENVASE CON 3.5 G.</v>
          </cell>
          <cell r="U423">
            <v>390075</v>
          </cell>
          <cell r="V423">
            <v>975184</v>
          </cell>
        </row>
        <row r="424">
          <cell r="A424">
            <v>421</v>
          </cell>
          <cell r="B424" t="str">
            <v>010.000.2826.01</v>
          </cell>
          <cell r="E424" t="str">
            <v>IDOXURIDINA. UNGUENTO OFTALMICO AL 0.5 % CADA 100 G CONTIENE: IDOXURIDINA 0.5 GENVASE CON 7 G.</v>
          </cell>
          <cell r="U424">
            <v>864</v>
          </cell>
          <cell r="V424">
            <v>2157</v>
          </cell>
        </row>
        <row r="425">
          <cell r="A425">
            <v>422</v>
          </cell>
          <cell r="B425" t="str">
            <v>010.000.2828.00</v>
          </cell>
          <cell r="E425" t="str">
            <v>Gentamicina. Solución Oftálmica. Cada ml contiene: Sulfato de gentamicina equivalente a 3 mg de gentamicina. Envase con gotero integral con 5 ml.</v>
          </cell>
          <cell r="U425">
            <v>6082</v>
          </cell>
          <cell r="V425">
            <v>15203</v>
          </cell>
        </row>
        <row r="426">
          <cell r="A426">
            <v>423</v>
          </cell>
          <cell r="B426" t="str">
            <v>010.000.2841.00</v>
          </cell>
          <cell r="E426" t="str">
            <v>Prednisolona. Solución Oftálmica Cada ml contiene: Fosfato sódico de prednisolona equivalente a 5 mg de fosfato de prednisolona Envase con gotero integral con 5 ml.</v>
          </cell>
          <cell r="U426">
            <v>539821</v>
          </cell>
          <cell r="V426">
            <v>1349551</v>
          </cell>
        </row>
        <row r="427">
          <cell r="A427">
            <v>424</v>
          </cell>
          <cell r="B427" t="str">
            <v>010.000.2851.00</v>
          </cell>
          <cell r="E427" t="str">
            <v>Pilocarpina. Solución Oftálmica al 2% Cada ml contiene: Clorhidrato de pilocarpina 20 mg Envase con gotero integral con 15 ml.</v>
          </cell>
          <cell r="U427">
            <v>21705</v>
          </cell>
          <cell r="V427">
            <v>54261</v>
          </cell>
        </row>
        <row r="428">
          <cell r="A428">
            <v>425</v>
          </cell>
          <cell r="B428" t="str">
            <v>010.000.2852.00</v>
          </cell>
          <cell r="E428" t="str">
            <v>PILOCARPINA. SOLUCIÓN OFTÁLMICA AL 4% CADA ML CONTIENE: CLORHIDRATO DE PILOCARPINA 40 MG ENVASE CON GOTERO INTEGRAL CON 15 ML.</v>
          </cell>
          <cell r="U428">
            <v>7473</v>
          </cell>
          <cell r="V428">
            <v>18681</v>
          </cell>
        </row>
        <row r="429">
          <cell r="A429">
            <v>426</v>
          </cell>
          <cell r="B429" t="str">
            <v>010.000.2858.00</v>
          </cell>
          <cell r="E429" t="str">
            <v>Timolol. Solución Oftálmica Cada ml contiene: Maleato de timolol equivalente a 5 mg de timolol. Envase con gotero integral con 5 ml.</v>
          </cell>
          <cell r="U429">
            <v>759676</v>
          </cell>
          <cell r="V429">
            <v>1899189</v>
          </cell>
        </row>
        <row r="430">
          <cell r="A430">
            <v>427</v>
          </cell>
          <cell r="B430" t="str">
            <v>010.000.2873.00</v>
          </cell>
          <cell r="E430" t="str">
            <v>ATROPINA. UNGUENTO OFTALMICO CADA G CONTIENE: SULFATO DE ATROPINA 10 MG ENVASECON 3 G.</v>
          </cell>
          <cell r="U430">
            <v>546</v>
          </cell>
          <cell r="V430">
            <v>1364</v>
          </cell>
        </row>
        <row r="431">
          <cell r="A431">
            <v>428</v>
          </cell>
          <cell r="B431" t="str">
            <v>010.000.2893.00</v>
          </cell>
          <cell r="E431" t="str">
            <v>Hipromelosa. Solución Oftálmica al 2% Cada ml contiene: Hipromelosa 20 mg Envase con gotero integral con 15 ml.</v>
          </cell>
          <cell r="U431">
            <v>125856</v>
          </cell>
          <cell r="V431">
            <v>314638</v>
          </cell>
        </row>
        <row r="432">
          <cell r="A432">
            <v>429</v>
          </cell>
          <cell r="B432" t="str">
            <v>010.000.2900.00</v>
          </cell>
          <cell r="E432" t="str">
            <v>Acetilcolina cloruro de. Solución Oftálmica. Cada frasco ámpula con liofilizado contiene: Cloruro de Acetilcolina 20 mg Envase con un frasco ámpula con liofilizado y ampolleta con 2 ml de diluyente.</v>
          </cell>
          <cell r="U432">
            <v>950</v>
          </cell>
          <cell r="V432">
            <v>2374</v>
          </cell>
        </row>
        <row r="433">
          <cell r="A433">
            <v>430</v>
          </cell>
          <cell r="B433" t="str">
            <v>010.000.3003.00</v>
          </cell>
          <cell r="E433" t="str">
            <v>DACARBAZINA. SOLUCIÓN INYECTABLE CADA FRASCO ÁMPULA CON POLVO CONTIENE: DACARBAZINA 200 MG ENVASE CON UN FRASCO ÁMPULA</v>
          </cell>
          <cell r="U433">
            <v>8142</v>
          </cell>
          <cell r="V433">
            <v>20353</v>
          </cell>
        </row>
        <row r="434">
          <cell r="A434">
            <v>431</v>
          </cell>
          <cell r="B434" t="str">
            <v>010.000.3003.01</v>
          </cell>
          <cell r="E434" t="str">
            <v>DACARBAZINA. SOLUCIÓN INYECTABLE Cada frasco ámpula contiene: Dacarbazina 200 mg Envase con 10 frascos ámpula.</v>
          </cell>
          <cell r="U434">
            <v>6378</v>
          </cell>
          <cell r="V434">
            <v>15944</v>
          </cell>
        </row>
        <row r="435">
          <cell r="A435">
            <v>432</v>
          </cell>
          <cell r="B435" t="str">
            <v>010.000.3012.00</v>
          </cell>
          <cell r="E435" t="str">
            <v>FLUOROURACILO. SOLUCIÓN INYECTABLE. CADA AMPOLLETA O FRASCO ÁMPULA CONTIENE: FLUOROURACILO 250 MG. ENVASE CON 10 AMPOLLETAS O FRASCOS ÁMPULA CON 10 ML.</v>
          </cell>
          <cell r="U435">
            <v>19084</v>
          </cell>
          <cell r="V435">
            <v>47708</v>
          </cell>
        </row>
        <row r="436">
          <cell r="A436">
            <v>433</v>
          </cell>
          <cell r="B436" t="str">
            <v>010.000.3046.00</v>
          </cell>
          <cell r="E436" t="str">
            <v>Cisplatino. Solución Inyectable El frasco ámpula con liofilizado o Solución contiene: Cisplatino 10 mg Envase con un frasco ámpula.</v>
          </cell>
          <cell r="U436">
            <v>67829</v>
          </cell>
          <cell r="V436">
            <v>169570</v>
          </cell>
        </row>
        <row r="437">
          <cell r="A437">
            <v>434</v>
          </cell>
          <cell r="B437" t="str">
            <v>010.000.3046.01</v>
          </cell>
          <cell r="E437" t="str">
            <v>CISPLATINO. SOLUCIÓN INYECTABLE. El frasco ámpula con solución inyectable contiene: cisplatino 10 mg. Envase con 10 frascos ámpula.</v>
          </cell>
          <cell r="U437">
            <v>33882</v>
          </cell>
          <cell r="V437">
            <v>84704</v>
          </cell>
        </row>
        <row r="438">
          <cell r="A438">
            <v>435</v>
          </cell>
          <cell r="B438" t="str">
            <v>010.000.3047.00</v>
          </cell>
          <cell r="E438" t="str">
            <v>Tamoxifeno. Tableta Cada Tableta contiene: Citrato de tamoxifeno equivalente a 20 mg de tamoxifeno Envase con 14 Tabletas.</v>
          </cell>
          <cell r="U438">
            <v>306082</v>
          </cell>
          <cell r="V438">
            <v>765202</v>
          </cell>
        </row>
        <row r="439">
          <cell r="A439">
            <v>436</v>
          </cell>
          <cell r="B439" t="str">
            <v>010.000.3050.00</v>
          </cell>
          <cell r="E439" t="str">
            <v>Bcg inmunoterapéutico. Suspensión Cada frasco ámpula con liofilizado contiene: Bacilo de Calmette-Guerin 81.00 mg equivalente a 1.8X108-19.2X108 UFC (unidades formadoras de colonias) Envase con un frasco ámpula con liofilizado y un frasco ámpula de 3 ml de diluyente.</v>
          </cell>
          <cell r="U439">
            <v>1190</v>
          </cell>
          <cell r="V439">
            <v>2972</v>
          </cell>
        </row>
        <row r="440">
          <cell r="A440">
            <v>437</v>
          </cell>
          <cell r="B440" t="str">
            <v>010.000.3055.00</v>
          </cell>
          <cell r="E440" t="str">
            <v>Leuprorelina. Suspensión Inyectable Cada jeringa prellenada con polvo liofilizado o cada frasco ámpula con microesferas liofilizadas contiene: Acetato de leuprorelina 7.5 mg. Envase con jeringa prellenada con polvo liofilizado y jeringa prellenada con 0.3 ml con sistema de liberación.</v>
          </cell>
          <cell r="U440">
            <v>52</v>
          </cell>
          <cell r="V440">
            <v>129</v>
          </cell>
        </row>
        <row r="441">
          <cell r="A441">
            <v>438</v>
          </cell>
          <cell r="B441" t="str">
            <v>010.000.3111.00</v>
          </cell>
          <cell r="E441" t="str">
            <v>Difenidol. Tableta. Cada tableta contiene: Clorhidrato de difenidol equivalente a 25 mg de difenidol Envase con 30 Tabletas.</v>
          </cell>
          <cell r="U441">
            <v>2383148</v>
          </cell>
          <cell r="V441">
            <v>5957870</v>
          </cell>
        </row>
        <row r="442">
          <cell r="A442">
            <v>439</v>
          </cell>
          <cell r="B442" t="str">
            <v>010.000.3112.00</v>
          </cell>
          <cell r="E442" t="str">
            <v>Difenidol. Solución Inyectable. Cada ampolleta contiene: Clorhidrato de difenidol equivalente a 40 mg de difenidol Envase con 2 ampolletas de 2 ml.</v>
          </cell>
          <cell r="U442">
            <v>848056</v>
          </cell>
          <cell r="V442">
            <v>2120139</v>
          </cell>
        </row>
        <row r="443">
          <cell r="A443">
            <v>440</v>
          </cell>
          <cell r="B443" t="str">
            <v>010.000.3143.00</v>
          </cell>
          <cell r="E443" t="str">
            <v>Epinastina. Tableta Cada Tableta contiene: Clorhidrato de epinastina 20 mg Envase con 10 Tabletas.</v>
          </cell>
          <cell r="U443">
            <v>4003573</v>
          </cell>
          <cell r="V443">
            <v>10008929</v>
          </cell>
        </row>
        <row r="444">
          <cell r="A444">
            <v>441</v>
          </cell>
          <cell r="B444" t="str">
            <v>010.000.3146.00</v>
          </cell>
          <cell r="E444" t="str">
            <v>Fexofenadina. Comprimido Cada Comprimido contiene: Clorhidrato de fexofenadina 180 mg Envase con 10 Comprimidos.</v>
          </cell>
          <cell r="U444">
            <v>433585</v>
          </cell>
          <cell r="V444">
            <v>1083961</v>
          </cell>
        </row>
        <row r="445">
          <cell r="A445">
            <v>442</v>
          </cell>
          <cell r="B445" t="str">
            <v>010.000.3150.00</v>
          </cell>
          <cell r="E445" t="str">
            <v>Levocetirizina. Tableta Cada Tableta contiene: Diclorhidrato de Levocetirizina 5 mg Envase con 20 Tabletas.</v>
          </cell>
          <cell r="U445">
            <v>414854</v>
          </cell>
          <cell r="V445">
            <v>1037131</v>
          </cell>
        </row>
        <row r="446">
          <cell r="A446">
            <v>443</v>
          </cell>
          <cell r="B446" t="str">
            <v>010.000.3263.01</v>
          </cell>
          <cell r="E446" t="str">
            <v>FLUPENTIXOL. GRAGEA. CADA GRAGEA CONTIENE: DICLORHIDRATO DE FLUPENTIXOLEQUIVALENTE A 5 MG DE FLUPENTIXOL. ENVASE CON 30 GRAGEAS.</v>
          </cell>
          <cell r="U446">
            <v>970</v>
          </cell>
          <cell r="V446">
            <v>2422</v>
          </cell>
        </row>
        <row r="447">
          <cell r="A447">
            <v>444</v>
          </cell>
          <cell r="B447" t="str">
            <v>010.000.3263.02</v>
          </cell>
          <cell r="E447" t="str">
            <v>FLUPENTIXOL. GRAGEA. CADA GRAGEA CONTIENE: DICLORHIDRATO DE FLUPENTIXOLEQUIVALENTE A 5 MG DE FLUPENTIXOL. ENVASE CON 50 GRAGEAS.</v>
          </cell>
          <cell r="U447">
            <v>474</v>
          </cell>
          <cell r="V447">
            <v>1182</v>
          </cell>
        </row>
        <row r="448">
          <cell r="A448">
            <v>445</v>
          </cell>
          <cell r="B448" t="str">
            <v>010.000.3264.00</v>
          </cell>
          <cell r="E448" t="str">
            <v>ZIPRASIDONA CAPSULA CADA CAPSULA CONTIENE: CLORHIDRATO DE ZIPRASIDONAEQUIVALENTE A 40 MG DE ZIPRASIDONA. ENVASE CON 28 CAPSULAS.</v>
          </cell>
          <cell r="U448">
            <v>226</v>
          </cell>
          <cell r="V448">
            <v>564</v>
          </cell>
        </row>
        <row r="449">
          <cell r="A449">
            <v>446</v>
          </cell>
          <cell r="B449" t="str">
            <v>010.000.3265.00</v>
          </cell>
          <cell r="E449" t="str">
            <v>ZIPRASIDONA CAPSULA CADA CAPSULA CONTIENE: CLORHIDRATO DE ZIPRASIDONAEQUIVALENTE A 80 MG DE ZIPRASIDONA. ENVASE CON 28 CAPSULAS.</v>
          </cell>
          <cell r="U449">
            <v>4548</v>
          </cell>
          <cell r="V449">
            <v>11366</v>
          </cell>
        </row>
        <row r="450">
          <cell r="A450">
            <v>447</v>
          </cell>
          <cell r="B450" t="str">
            <v>010.000.3307.00</v>
          </cell>
          <cell r="E450" t="str">
            <v>ATOMOXETINA. CÁPSULA CADA CÁPSULA CONTIENE: CLORHIDRATO DE ATOMOXETINA EQUIVALENTE A 10 MG DE ATOMOXETINA. ENVASE CON 14 CÁPSULAS.</v>
          </cell>
          <cell r="U450">
            <v>40191</v>
          </cell>
          <cell r="V450">
            <v>100477</v>
          </cell>
        </row>
        <row r="451">
          <cell r="A451">
            <v>448</v>
          </cell>
          <cell r="B451" t="str">
            <v>010.000.3308.00</v>
          </cell>
          <cell r="E451" t="str">
            <v>ATOMOXETINA. CÁPSULA CADA CÁPSULA CONTIENE: CLORHIDRATO DE ATOMOXETINA EQUIVALENTE A 40 MG DE ATOMOXETINA. ENVASE CON 14 CÁPSULAS.</v>
          </cell>
          <cell r="U451">
            <v>56231</v>
          </cell>
          <cell r="V451">
            <v>140576</v>
          </cell>
        </row>
        <row r="452">
          <cell r="A452">
            <v>449</v>
          </cell>
          <cell r="B452" t="str">
            <v>010.000.3309.00</v>
          </cell>
          <cell r="E452" t="str">
            <v>ATOMOXETINA. CÁPSULA CADA CÁPSULA CONTIENE: CLORHIDRATO DE ATOMOXETINA EQUIVALENTE A 60 MG DE ATOMOXETINA. ENVASE CON 14 CÁPSULAS.</v>
          </cell>
          <cell r="U452">
            <v>5159</v>
          </cell>
          <cell r="V452">
            <v>12897</v>
          </cell>
        </row>
        <row r="453">
          <cell r="A453">
            <v>450</v>
          </cell>
          <cell r="B453" t="str">
            <v>010.000.3400.00</v>
          </cell>
          <cell r="E453" t="str">
            <v>DIPIRIDAMOL-ÁCIDO ACETILSALICÍLICO. CÁPSULA DE LIBERACIÓN PROLONGADA CADA CÁPSULA DE LIBERACIÓN PROLONGADA CONTIENE: DIPIRIDAMOL 200 MG ACIDO ACETILSALICÍLICO 25 MG ENVASE CON 60 CÁPSULAS DE LIBERACIÓN PROLONGADA</v>
          </cell>
          <cell r="U453">
            <v>8</v>
          </cell>
          <cell r="V453">
            <v>18</v>
          </cell>
        </row>
        <row r="454">
          <cell r="A454">
            <v>451</v>
          </cell>
          <cell r="B454" t="str">
            <v>010.000.3406.00</v>
          </cell>
          <cell r="E454" t="str">
            <v>Acemetacina. Cápsula de Liberación Prolongada Cada Cápsula de Liberación Prolongada contiene: Acemetacina 90 mg Envase con 14 Cápsulas de Liberación Prolongada.</v>
          </cell>
          <cell r="U454">
            <v>1217954</v>
          </cell>
          <cell r="V454">
            <v>3044885</v>
          </cell>
        </row>
        <row r="455">
          <cell r="A455">
            <v>452</v>
          </cell>
          <cell r="B455" t="str">
            <v>010.000.3406.01</v>
          </cell>
          <cell r="E455" t="str">
            <v>ACEMETACINA. CÁPSULA DE LIBERACIÓN PROLONGADA CADA CÁPSULA DE LIBERACIÓN PROLONGADA CONTIENE: ACEMETACINA 90 MG ENVASE CON 28 CÁPSULAS DE LIBERACIÓN PROLONGADA.</v>
          </cell>
          <cell r="U455">
            <v>3631</v>
          </cell>
          <cell r="V455">
            <v>9074</v>
          </cell>
        </row>
        <row r="456">
          <cell r="A456">
            <v>453</v>
          </cell>
          <cell r="B456" t="str">
            <v>010.000.3407.00</v>
          </cell>
          <cell r="E456" t="str">
            <v>Naproxeno. Tableta Cada Tableta contiene: Naproxeno 250 mg Envase con 30 Tabletas.</v>
          </cell>
          <cell r="U456">
            <v>9288831</v>
          </cell>
          <cell r="V456">
            <v>23222076</v>
          </cell>
        </row>
        <row r="457">
          <cell r="A457">
            <v>454</v>
          </cell>
          <cell r="B457" t="str">
            <v>010.000.3409.00</v>
          </cell>
          <cell r="E457" t="str">
            <v>Colchicina. Tableta. Cada tableta contiene: Colchicina 1 mg Envase con 30 Tabletas.</v>
          </cell>
          <cell r="U457">
            <v>221084</v>
          </cell>
          <cell r="V457">
            <v>552707</v>
          </cell>
        </row>
        <row r="458">
          <cell r="A458">
            <v>455</v>
          </cell>
          <cell r="B458" t="str">
            <v>010.000.3412.01</v>
          </cell>
          <cell r="E458" t="str">
            <v>Indometacina. Supositorio Cada Supositorio contiene: Indometacina 100 mg Envase con 15 Supositorios.</v>
          </cell>
          <cell r="U458">
            <v>60291</v>
          </cell>
          <cell r="V458">
            <v>150725</v>
          </cell>
        </row>
        <row r="459">
          <cell r="A459">
            <v>456</v>
          </cell>
          <cell r="B459" t="str">
            <v>010.000.3413.00</v>
          </cell>
          <cell r="E459" t="str">
            <v>Indometacina. Cápsula Cada Cápsula contiene: Indometacina 25 mg Envase con 30 Cápsulas.</v>
          </cell>
          <cell r="U459">
            <v>5212700</v>
          </cell>
          <cell r="V459">
            <v>13031746</v>
          </cell>
        </row>
        <row r="460">
          <cell r="A460">
            <v>457</v>
          </cell>
          <cell r="B460" t="str">
            <v>010.000.3415.00</v>
          </cell>
          <cell r="E460" t="str">
            <v>PIROXICAM CAPSULA O TABLETA CADA CAPSULA O TABLETA CONTIENE: PIROXICAM 20 MGENVASE CON 20 CAPSULAS O TABLETAS.</v>
          </cell>
          <cell r="U460">
            <v>4071053</v>
          </cell>
          <cell r="V460">
            <v>10177629</v>
          </cell>
        </row>
        <row r="461">
          <cell r="A461">
            <v>458</v>
          </cell>
          <cell r="B461" t="str">
            <v>010.000.3417.00</v>
          </cell>
          <cell r="E461" t="str">
            <v>Diclofenaco. Cápsula o gragea de liberación prolongada. Cada gragea contiene: Diclofenaco sódico 100 mg Envase con 20 Cápsulas o Grageas.</v>
          </cell>
          <cell r="U461">
            <v>12084025</v>
          </cell>
          <cell r="V461">
            <v>30210059</v>
          </cell>
        </row>
        <row r="462">
          <cell r="A462">
            <v>459</v>
          </cell>
          <cell r="B462" t="str">
            <v>010.000.3419.00</v>
          </cell>
          <cell r="E462" t="str">
            <v>NAPROXENO. SUSPENSIÓN ORAL CADA 5 ML CONTIENEN: NAPROXENO 125 MG ENVASE CON 100 ML.</v>
          </cell>
          <cell r="U462">
            <v>599237</v>
          </cell>
          <cell r="V462">
            <v>1498089</v>
          </cell>
        </row>
        <row r="463">
          <cell r="A463">
            <v>460</v>
          </cell>
          <cell r="B463" t="str">
            <v>010.000.3421.00</v>
          </cell>
          <cell r="E463" t="str">
            <v>MELOXICAM. SUSPENSIÓN ORAL CADA 100 ML CONTIENEN: MELOXICAM 0.150 G ENVASE CON 40 ML Y PIPETA DOSIFICADORA DE 5 ML.</v>
          </cell>
          <cell r="U463">
            <v>99806</v>
          </cell>
          <cell r="V463">
            <v>249513</v>
          </cell>
        </row>
        <row r="464">
          <cell r="A464">
            <v>461</v>
          </cell>
          <cell r="B464" t="str">
            <v>010.000.3422.00</v>
          </cell>
          <cell r="E464" t="str">
            <v>Ketorolaco solucion inyectable cada frasco ámpula o ampolleta contiene: ketorolaco-trometamina 30 mg envase con 3 frascos ámpula o 3 ampolletas de 1 ml.</v>
          </cell>
          <cell r="U464">
            <v>9709231</v>
          </cell>
          <cell r="V464">
            <v>24273074</v>
          </cell>
        </row>
        <row r="465">
          <cell r="A465">
            <v>462</v>
          </cell>
          <cell r="B465" t="str">
            <v>010.000.3423.00</v>
          </cell>
          <cell r="E465" t="str">
            <v>Meloxicam. Tableta Cada Tableta contiene: Meloxicam 15 mg Envase con 10 Tabletas</v>
          </cell>
          <cell r="U465">
            <v>939262</v>
          </cell>
          <cell r="V465">
            <v>2348154</v>
          </cell>
        </row>
        <row r="466">
          <cell r="A466">
            <v>463</v>
          </cell>
          <cell r="B466" t="str">
            <v>010.000.3432.00</v>
          </cell>
          <cell r="E466" t="str">
            <v>Dexametasona. Tableta. Cada tableta contiene dexametasona 0.5 mg Envase con 30 Tabletas.</v>
          </cell>
          <cell r="U466">
            <v>139065</v>
          </cell>
          <cell r="V466">
            <v>347660</v>
          </cell>
        </row>
        <row r="467">
          <cell r="A467">
            <v>464</v>
          </cell>
          <cell r="B467" t="str">
            <v>010.000.3433.00</v>
          </cell>
          <cell r="E467" t="str">
            <v>Metilprednisolona. Suspensión Inyectable Cada ml contiene: Acetato de Metilprednisolona 40 mg Un frasco ámpula con 2 ml.</v>
          </cell>
          <cell r="U467">
            <v>852319</v>
          </cell>
          <cell r="V467">
            <v>2130794</v>
          </cell>
        </row>
        <row r="468">
          <cell r="A468">
            <v>465</v>
          </cell>
          <cell r="B468" t="str">
            <v>010.000.3443.00</v>
          </cell>
          <cell r="E468" t="str">
            <v>ORFENADRINA. SOLUCIÓN INYECTABLE CADA AMPOLLETA CONTIENE: CITRATO DE ORFENADRINA 60 MG ENVASE CON 6 AMPOLLETAS DE 2 ML.</v>
          </cell>
          <cell r="U468">
            <v>250583</v>
          </cell>
          <cell r="V468">
            <v>626456</v>
          </cell>
        </row>
        <row r="469">
          <cell r="A469">
            <v>466</v>
          </cell>
          <cell r="B469" t="str">
            <v>010.000.3444.00</v>
          </cell>
          <cell r="E469" t="str">
            <v>METOCARBAMOL. TABLETA CADA TABLETA CONTIENE: METOCARBAMOL 400 MG ENVASE CON 30 TABLETAS.</v>
          </cell>
          <cell r="U469">
            <v>91176</v>
          </cell>
          <cell r="V469">
            <v>227938</v>
          </cell>
        </row>
        <row r="470">
          <cell r="A470">
            <v>467</v>
          </cell>
          <cell r="B470" t="str">
            <v>010.000.3451.00</v>
          </cell>
          <cell r="E470" t="str">
            <v>Alopurinol. Tableta. Cada tableta contiene: alopurinol 300 mg. Envase con 20 tabletas.</v>
          </cell>
          <cell r="U470">
            <v>6993985</v>
          </cell>
          <cell r="V470">
            <v>17484961</v>
          </cell>
        </row>
        <row r="471">
          <cell r="A471">
            <v>468</v>
          </cell>
          <cell r="B471" t="str">
            <v>010.000.3453.00</v>
          </cell>
          <cell r="E471" t="str">
            <v>Probenecid. Tableta Cada Tableta contiene: Probenecid 500 mg Envase con 50 Tabletas.</v>
          </cell>
          <cell r="U471">
            <v>160</v>
          </cell>
          <cell r="V471">
            <v>400</v>
          </cell>
        </row>
        <row r="472">
          <cell r="A472">
            <v>469</v>
          </cell>
          <cell r="B472" t="str">
            <v>010.000.3461.00</v>
          </cell>
          <cell r="E472" t="str">
            <v>Azatioprina. Tableta Cada Tableta contiene: Azatioprina 50 mg Envase con 50 Tabletas.</v>
          </cell>
          <cell r="U472">
            <v>356240</v>
          </cell>
          <cell r="V472">
            <v>890599</v>
          </cell>
        </row>
        <row r="473">
          <cell r="A473">
            <v>470</v>
          </cell>
          <cell r="B473" t="str">
            <v>010.000.3503.00</v>
          </cell>
          <cell r="E473" t="str">
            <v>NORETISTERONA. SOLUCION INYECTABLE OLEOSA. CADA AMPOLLETA CONTIENE: ENANTATO DENORETISTERONA 200 MG ENVASE CON UNA AMPOLLETA DE 1 ML.</v>
          </cell>
          <cell r="U473">
            <v>505564</v>
          </cell>
          <cell r="V473">
            <v>1263907</v>
          </cell>
        </row>
        <row r="474">
          <cell r="A474">
            <v>471</v>
          </cell>
          <cell r="B474" t="str">
            <v>010.000.3504.00</v>
          </cell>
          <cell r="E474" t="str">
            <v>LEVONORGESTREL Y ETINILESTRADIOL. GRAGEA CADA GRAGEA CONTIENE: LEVONORGESTREL 0.15 MG ETINILESTRADIOL 0.03 MG ENVASE CON 21 GRAGEAS.</v>
          </cell>
          <cell r="U474">
            <v>653544</v>
          </cell>
          <cell r="V474">
            <v>1633860</v>
          </cell>
        </row>
        <row r="475">
          <cell r="A475">
            <v>472</v>
          </cell>
          <cell r="B475" t="str">
            <v>010.000.3505.00</v>
          </cell>
          <cell r="E475" t="str">
            <v>DESOGESTREL Y ETINILESTRADIOL. TABLETA. CADA TABLETA CONTIENE: DESOGESTREL 0.15 MG. ETINILESTRADIOL 0.03 MG. ENVASE CON 21 TABLETAS.</v>
          </cell>
          <cell r="U475">
            <v>439019</v>
          </cell>
          <cell r="V475">
            <v>1097545</v>
          </cell>
        </row>
        <row r="476">
          <cell r="A476">
            <v>473</v>
          </cell>
          <cell r="B476" t="str">
            <v>010.000.3506.00</v>
          </cell>
          <cell r="E476" t="str">
            <v>NORETISTERONA Y ETINILESTRADIOL. TABLETA O GRAGEA CADA TABLETA O GRAGEA CONTIENE: NORESTISTERONA 0.400 MG ETINILESTRADIOL 0.035 MG ENVASE CON 28 TABLETAS O GRAGEAS. (21 TABLETAS CON HORMONALES Y 7 SIN HORMONALES)</v>
          </cell>
          <cell r="U476">
            <v>4</v>
          </cell>
          <cell r="V476">
            <v>8</v>
          </cell>
        </row>
        <row r="477">
          <cell r="A477">
            <v>474</v>
          </cell>
          <cell r="B477" t="str">
            <v>010.000.3507.00</v>
          </cell>
          <cell r="E477" t="str">
            <v>Levonorgestrel y etinilestradiol. Gragea Cada Gragea contiene: Levonorgestrel 0.15 mg Etinilestradiol 0.03 mg Envase con 28 Grageas. (21 con hormonales y 7 sin hormonales)</v>
          </cell>
          <cell r="U477">
            <v>625554</v>
          </cell>
          <cell r="V477">
            <v>1563882</v>
          </cell>
        </row>
        <row r="478">
          <cell r="A478">
            <v>475</v>
          </cell>
          <cell r="B478" t="str">
            <v>010.000.3509.00</v>
          </cell>
          <cell r="E478" t="str">
            <v>Medroxiprogesterona y cipionato de estradiol. Suspensión Inyectable Cada ampolleta o jeringa contiene: Acetato de Medroxiprogesterona 25 mg Cipionato de estradiol 5 mg Envase con una ampolleta o jeringa prellenada de 0.5 ml.</v>
          </cell>
          <cell r="U478">
            <v>1577881</v>
          </cell>
          <cell r="V478">
            <v>3944701</v>
          </cell>
        </row>
        <row r="479">
          <cell r="A479">
            <v>476</v>
          </cell>
          <cell r="B479" t="str">
            <v>010.000.3515.00</v>
          </cell>
          <cell r="E479" t="str">
            <v>Noretisterona y estradiol. Solución Inyectable Cada ampolleta o jeringa contiene: Enantato de noretisterona 50 mg Valerato de estradiol 5 mg Envase con una ampolleta o jeringa con un ml.</v>
          </cell>
          <cell r="U479">
            <v>863886</v>
          </cell>
          <cell r="V479">
            <v>2159713</v>
          </cell>
        </row>
        <row r="480">
          <cell r="A480">
            <v>477</v>
          </cell>
          <cell r="B480" t="str">
            <v>010.000.3601.00</v>
          </cell>
          <cell r="E480" t="str">
            <v>Glucosa. Solución Inyectable al 5 % Cada 100 ml contiene: Glucosa anhidra o glucosa 5 g ó Glucosa monohidratada equivalente a 5.0 g de glucosa Envase con 250 ml. Contiene: Glucosa 12.5 g</v>
          </cell>
          <cell r="U480">
            <v>2361147</v>
          </cell>
          <cell r="V480">
            <v>5902864</v>
          </cell>
        </row>
        <row r="481">
          <cell r="A481">
            <v>478</v>
          </cell>
          <cell r="B481" t="str">
            <v>010.000.3603.00</v>
          </cell>
          <cell r="E481" t="str">
            <v>Glucosa. Solución Inyectable al 5% Cada 100 ml contienen: Glucosa anhidra o glucosa 5 g ó Glucosa monohidratada equivalente a 5.0 g de glucosa Envase con 1 000 ml. Contiene: Glucosa 50.0 g</v>
          </cell>
          <cell r="U481">
            <v>1945419</v>
          </cell>
          <cell r="V481">
            <v>4863547</v>
          </cell>
        </row>
        <row r="482">
          <cell r="A482">
            <v>479</v>
          </cell>
          <cell r="B482" t="str">
            <v>010.000.3604.00</v>
          </cell>
          <cell r="E482" t="str">
            <v>Glucosa. Solución Inyectable al 10% Cada 100 ml contienen: Glucosa anhidra o glucosa 10 g ó Glucosa monohidratada equivalente a 10.0 g de glucosa Envase con 500 ml. Contiene: Glucosa 50.0 g</v>
          </cell>
          <cell r="U482">
            <v>1082478</v>
          </cell>
          <cell r="V482">
            <v>2706195</v>
          </cell>
        </row>
        <row r="483">
          <cell r="A483">
            <v>480</v>
          </cell>
          <cell r="B483" t="str">
            <v>010.000.3605.00</v>
          </cell>
          <cell r="E483" t="str">
            <v>Glucosa. Solución Inyectable al 10% Cada 100 ml contienen: Glucosa anhidra o glucosa 10 g ó Glucosa monohidratada equivalente a 10.0 g de glucosa Envase con 1 000 ml. Contiene: Glucosa 100.0 g</v>
          </cell>
          <cell r="U483">
            <v>514002</v>
          </cell>
          <cell r="V483">
            <v>1285003</v>
          </cell>
        </row>
        <row r="484">
          <cell r="A484">
            <v>481</v>
          </cell>
          <cell r="B484" t="str">
            <v>010.000.3606.00</v>
          </cell>
          <cell r="E484" t="str">
            <v>Glucosa. Solución Inyectable al 50 % Cada 100 ml contienen: Glucosa anhidra o glucosa 50 g Agua Inyectable 100 ml o Glucosa monohidratada equivalente a 50 g de glucosa Envase con 250 ml. Contiene: Glucosa 125 g</v>
          </cell>
          <cell r="U484">
            <v>248458</v>
          </cell>
          <cell r="V484">
            <v>621142</v>
          </cell>
        </row>
        <row r="485">
          <cell r="A485">
            <v>482</v>
          </cell>
          <cell r="B485" t="str">
            <v>010.000.3608.00</v>
          </cell>
          <cell r="E485" t="str">
            <v>Cloruro de sodio. Solución Inyectable al 0.9%. Cada 100 ml contienen: Cloruro de sodio 0.9 g Agua Inyectable 100 ml Envase con 250 ml. Contiene: Sodio 38.5 mEq. Cloruro 38.5 mEq.</v>
          </cell>
          <cell r="U485">
            <v>16067722</v>
          </cell>
          <cell r="V485">
            <v>40169304</v>
          </cell>
        </row>
        <row r="486">
          <cell r="A486">
            <v>483</v>
          </cell>
          <cell r="B486" t="str">
            <v>010.000.3609.00</v>
          </cell>
          <cell r="E486" t="str">
            <v>Cloruro de sodio. Solución Inyectable al 0.9%. Cada 100 ml contienen: Cloruro de sodio 0.9 g Agua Inyectable 100 ml Envase con 500 ml. Contiene: Sodio 77 mEq. Cloruro 77 mEq.</v>
          </cell>
          <cell r="U486">
            <v>10905021</v>
          </cell>
          <cell r="V486">
            <v>27262551</v>
          </cell>
        </row>
        <row r="487">
          <cell r="A487">
            <v>484</v>
          </cell>
          <cell r="B487" t="str">
            <v>010.000.3610.00</v>
          </cell>
          <cell r="E487" t="str">
            <v>Cloruro de sodio. Solución Inyectable al 0.9%. Cada 100 ml contienen: Cloruro de sodio 0.9 g Agua Inyectable 100 ml Envase con 1 000 ml. Contiene: Sodio 154 mEq. Cloruro 154 mEq.</v>
          </cell>
          <cell r="U487">
            <v>15376602</v>
          </cell>
          <cell r="V487">
            <v>38441504</v>
          </cell>
        </row>
        <row r="488">
          <cell r="A488">
            <v>485</v>
          </cell>
          <cell r="B488" t="str">
            <v>010.000.3611.00</v>
          </cell>
          <cell r="E488" t="str">
            <v>CLORURO DE SODIO Y GLUCOSA SOLUCION INYECTABLE CADA 100 ML CONTIENEN: CLORURODE SODIO 0.9 G GLUCOSA ANHIDRA O GLUCOSA 5.0 G O GLUCOSA MONOHIDRATADAEQUIVALENTE A 5.0 G DE GLUCOSA ENVASE CON 250 ML. CONTIENE: SODIO 38.5MILIEQUIVALENTES CLORURO 38.5 MEQ GLUCOSA 12.5 G</v>
          </cell>
          <cell r="U488">
            <v>84581</v>
          </cell>
          <cell r="V488">
            <v>211450</v>
          </cell>
        </row>
        <row r="489">
          <cell r="A489">
            <v>486</v>
          </cell>
          <cell r="B489" t="str">
            <v>010.000.3612.00</v>
          </cell>
          <cell r="E489" t="str">
            <v>Cloruro de sodio y glucosa. Solución Inyectable Cada 100 ml contienen: Cloruro de sodio 0.9 g Glucosa anhidra o glucosa 5.0 g ó Glucosa monohidratada equivalente a 5.0 g de glucosa Envase con 500 ml. Contiene: Sodio 77 mEq Cloruro 77 mEq Glucosa 25 g</v>
          </cell>
          <cell r="U489">
            <v>1741101</v>
          </cell>
          <cell r="V489">
            <v>4352750</v>
          </cell>
        </row>
        <row r="490">
          <cell r="A490">
            <v>487</v>
          </cell>
          <cell r="B490" t="str">
            <v>010.000.3614.00</v>
          </cell>
          <cell r="E490" t="str">
            <v>SOLUCION HARTMANN. SOLUCION INYECTABLE. CADA 100 ML CONTIENEN: CLORURO DE SODIO0.600 G CLORURO DE POTASIO 0.030 G CLORURO DE CALCIO DIHIDRATADO 0.020 GLACTATO DE SODIO 0.310 G. ENVASE CON 250 ML. MILIEQUIVALENTES POR LITRO: SODIO130 POTASIO 4 CALCIO 2.72-3 CLORURO 109 LACTATO 28.</v>
          </cell>
          <cell r="U490">
            <v>538040</v>
          </cell>
          <cell r="V490">
            <v>1345098</v>
          </cell>
        </row>
        <row r="491">
          <cell r="A491">
            <v>488</v>
          </cell>
          <cell r="B491" t="str">
            <v>010.000.3615.00</v>
          </cell>
          <cell r="E491" t="str">
            <v>Solución hartmann. Solución Inyectable Cada 100 ml contienen: Cloruro de sodio 0.600 g Cloruro de potasio 0.030 g Cloruro de calcio dihidratado 0.020 g Lactato de sodio 0.310 g Envase con 500 ml. Miliequivalentes por litro: Sodio 130 Potasio 4 Calcio 2.72.-3 Cloruro 109 Lactato 28</v>
          </cell>
          <cell r="U491">
            <v>7322948</v>
          </cell>
          <cell r="V491">
            <v>18307367</v>
          </cell>
        </row>
        <row r="492">
          <cell r="A492">
            <v>489</v>
          </cell>
          <cell r="B492" t="str">
            <v>010.000.3616.00</v>
          </cell>
          <cell r="E492" t="str">
            <v>Solución hartmann. Solución Inyectable Cada 100 ml contienen: Cloruro de sodio 0.600 g Cloruro de potasio 0.030 g Cloruro de calcio dihidratado 0.020 g Lactato de sodio 0.310 g Envase con 1000 ml Miliequivalentes por litro: Sodio 130 Potasio 4 Calcio 2.72-3 Cloruro 109 Lactato 28</v>
          </cell>
          <cell r="U492">
            <v>12029386</v>
          </cell>
          <cell r="V492">
            <v>30073462</v>
          </cell>
        </row>
        <row r="493">
          <cell r="A493">
            <v>490</v>
          </cell>
          <cell r="B493" t="str">
            <v>010.000.3618.00</v>
          </cell>
          <cell r="E493" t="str">
            <v>Bicarbonato de sodio. Solución Inyectable al 7.5% Cada frasco ámpula contiene: Bicarbonato de sodio 3.75 g Envase con frasco ámpula de 50 ml. El envase con 50 ml contiene: Bicarbonato de sodio 44.5 mEq</v>
          </cell>
          <cell r="U493">
            <v>419613</v>
          </cell>
          <cell r="V493">
            <v>1049032</v>
          </cell>
        </row>
        <row r="494">
          <cell r="A494">
            <v>491</v>
          </cell>
          <cell r="B494" t="str">
            <v>010.000.3619.00</v>
          </cell>
          <cell r="E494" t="str">
            <v>Bicarbonato de sodio. Solución Inyectable al 7.5% Cada ampolleta contiene: Bicarbonato de sodio 0.75 g Envase con 50 ampolletas de 10 ml. Cada ampolleta con 10 ml contiene: Bicarbonato de sodio 8.9 mEq</v>
          </cell>
          <cell r="U494">
            <v>96166</v>
          </cell>
          <cell r="V494">
            <v>240414</v>
          </cell>
        </row>
        <row r="495">
          <cell r="A495">
            <v>492</v>
          </cell>
          <cell r="B495" t="str">
            <v>010.000.3620.00</v>
          </cell>
          <cell r="E495" t="str">
            <v>Gluconato de calcio. Solución Inyectable Cada ampolleta contiene: Gluconato de calcio 1 g equivalente a 0.093 g de calcio ionizable. Envase con 50 ampolletas de 10 ml</v>
          </cell>
          <cell r="U495">
            <v>107992</v>
          </cell>
          <cell r="V495">
            <v>269979</v>
          </cell>
        </row>
        <row r="496">
          <cell r="A496">
            <v>493</v>
          </cell>
          <cell r="B496" t="str">
            <v>010.000.3620.01</v>
          </cell>
          <cell r="E496" t="str">
            <v>Gluconato de calcio. Solución Inyectable Cada ampolleta contiene: Gluconato de calcio 1 g equivalente a 0.093 g de calcio ionizable. Envase con 100 ampolletas de 10 ml</v>
          </cell>
          <cell r="U496">
            <v>126</v>
          </cell>
          <cell r="V496">
            <v>312</v>
          </cell>
        </row>
        <row r="497">
          <cell r="A497">
            <v>494</v>
          </cell>
          <cell r="B497" t="str">
            <v>010.000.3622.00</v>
          </cell>
          <cell r="E497" t="str">
            <v>ELECTROLITOS ORALES. POLVO (FÓRMULA DE OSMOLARIDAD BAJA) CADA SOBRE CON POLVO CONTIENE: GLUCOSA ANHIDRA O GLUCOSA 13.5 G CLORURO DE POTASIO 1.5 G CLORURO DE SODIO 2.6 G CITRATO TRISÓDICO DIHIDRATADO 2.9 G ENVASE CON 20.5 G</v>
          </cell>
          <cell r="U497">
            <v>7454542</v>
          </cell>
          <cell r="V497">
            <v>18636353</v>
          </cell>
        </row>
        <row r="498">
          <cell r="A498">
            <v>495</v>
          </cell>
          <cell r="B498" t="str">
            <v>010.000.3623.00</v>
          </cell>
          <cell r="E498" t="str">
            <v>Electrolitos Orales. Solución Cada sobre con polvo contiene: Glucosa 20.0 g Cloruro de potasio 1.5 g Cloruro de sodio 3.5 g Citrato trisódico dihidratado 2.9 g Envase con 27.9 g</v>
          </cell>
          <cell r="U498">
            <v>24327305</v>
          </cell>
          <cell r="V498">
            <v>60818259</v>
          </cell>
        </row>
        <row r="499">
          <cell r="A499">
            <v>496</v>
          </cell>
          <cell r="B499" t="str">
            <v>010.000.3626.00</v>
          </cell>
          <cell r="E499" t="str">
            <v>Cloruro de sodio. Solución Inyectable al 0.9%. Cada 100 ml contienen: Cloruro de sodio 0.9 g Agua Inyectable 100 ml Envase con 50 ml.</v>
          </cell>
          <cell r="U499">
            <v>18678806</v>
          </cell>
          <cell r="V499">
            <v>46697014</v>
          </cell>
        </row>
        <row r="500">
          <cell r="A500">
            <v>497</v>
          </cell>
          <cell r="B500" t="str">
            <v>010.000.3627.00</v>
          </cell>
          <cell r="E500" t="str">
            <v>Cloruro de sodio. Solución Inyectable al 0.9%. Cada 100 ml contienen: Cloruro de sodio 0.9 g Agua Inyectable 100 ml Envase con 100 ml.</v>
          </cell>
          <cell r="U500">
            <v>13386912</v>
          </cell>
          <cell r="V500">
            <v>33467279</v>
          </cell>
        </row>
        <row r="501">
          <cell r="A501">
            <v>498</v>
          </cell>
          <cell r="B501" t="str">
            <v>010.000.3629.00</v>
          </cell>
          <cell r="E501" t="str">
            <v>Magnesio sulfato de. Solución Inyectable Cada ampolleta contiene: Sulfato de magnesio 1g (Magnesio 8.1 mEq sulfato 8.1 mEq) Envase con 100 ampolletas de 10 ml con 1 g (100 mg/1 ml).</v>
          </cell>
          <cell r="U501">
            <v>364129</v>
          </cell>
          <cell r="V501">
            <v>910320</v>
          </cell>
        </row>
        <row r="502">
          <cell r="A502">
            <v>499</v>
          </cell>
          <cell r="B502" t="str">
            <v>010.000.3630.00</v>
          </cell>
          <cell r="E502" t="str">
            <v>Glucosa. Solución Inyectable al 5 % Cada 100 ml contiene: Glucosa anhidra o glucosa 5 g ó Glucosa monohidratada equivalente a 5.0 g de glucosa. Envase con 500 ml. Contiene: Glucosa 25.0 g</v>
          </cell>
          <cell r="U502">
            <v>847969</v>
          </cell>
          <cell r="V502">
            <v>2119920</v>
          </cell>
        </row>
        <row r="503">
          <cell r="A503">
            <v>500</v>
          </cell>
          <cell r="B503" t="str">
            <v>010.000.3633.00</v>
          </cell>
          <cell r="E503" t="str">
            <v>Cloruro de sodio. Solución inyectable. Cada 100 ml contienen: Cloruro de sodio 900 mg Agua inyectable 100 ml Envase con bolsa de 50 ml y adaptador para vial.</v>
          </cell>
          <cell r="U503">
            <v>1761798</v>
          </cell>
          <cell r="V503">
            <v>4404493</v>
          </cell>
        </row>
        <row r="504">
          <cell r="A504">
            <v>501</v>
          </cell>
          <cell r="B504" t="str">
            <v>010.000.3634.00</v>
          </cell>
          <cell r="E504" t="str">
            <v>Cloruro de sodio. Solución inyectable. Cada 100 ml contienen: Cloruro de sodio 900 mg Agua inyectable 100 ml Envase con bolsa de 100 ml y adaptador para vial.</v>
          </cell>
          <cell r="U504">
            <v>6190259</v>
          </cell>
          <cell r="V504">
            <v>15475646</v>
          </cell>
        </row>
        <row r="505">
          <cell r="A505">
            <v>502</v>
          </cell>
          <cell r="B505" t="str">
            <v>010.000.3661.00</v>
          </cell>
          <cell r="E505" t="str">
            <v>Poligelina. Solución Inyectable Cada 100 ml contienen: Poligelina 3.5 g Envase con 500 ml con o sin equipo para su administración.</v>
          </cell>
          <cell r="U505">
            <v>121504</v>
          </cell>
          <cell r="V505">
            <v>303758</v>
          </cell>
        </row>
        <row r="506">
          <cell r="A506">
            <v>503</v>
          </cell>
          <cell r="B506" t="str">
            <v>010.000.3662.00</v>
          </cell>
          <cell r="E506" t="str">
            <v>Seroalbúmina humana o albúmina humana. Solución Inyectable Cada envase contiene: Seroalbúmina humana o albúmina humana 12.5 g Envase con 50 ml.</v>
          </cell>
          <cell r="U506">
            <v>1040249</v>
          </cell>
          <cell r="V506">
            <v>2600622</v>
          </cell>
        </row>
        <row r="507">
          <cell r="A507">
            <v>504</v>
          </cell>
          <cell r="B507" t="str">
            <v>010.000.3663.01</v>
          </cell>
          <cell r="E507" t="str">
            <v>Almidón. Solución Inyectable al 10%. Cada 100 ml contienen: Poli (o-2 hidroxietil) almidón o pentalmidón o hidroxietil almidón (200/0.5) 10 g Envase con 500 ml.</v>
          </cell>
          <cell r="U507">
            <v>21455</v>
          </cell>
          <cell r="V507">
            <v>53636</v>
          </cell>
        </row>
        <row r="508">
          <cell r="A508">
            <v>505</v>
          </cell>
          <cell r="B508" t="str">
            <v>010.000.3664.00</v>
          </cell>
          <cell r="E508" t="str">
            <v>Poligelina. Solución Inyectable Cada 100 ml contienen: Polimerizado de Gelatina succinilada degradada 4.0 g Envase con 500 ml</v>
          </cell>
          <cell r="U508">
            <v>31223</v>
          </cell>
          <cell r="V508">
            <v>78057</v>
          </cell>
        </row>
        <row r="509">
          <cell r="A509">
            <v>506</v>
          </cell>
          <cell r="B509" t="str">
            <v>010.000.3666.00</v>
          </cell>
          <cell r="E509" t="str">
            <v>ALMIDÓN. SOLUCIÓN INYECTABLE AL 6 % CADA 100 ML CONTIENEN: POLI (O-2 HIDROXIETIL)-ALMIDÓN (130000 DALTONS) O HIDROXIETIL ALMIDÓN (130/0.4) 6 G ENVASE CON 250 ML.</v>
          </cell>
          <cell r="U509">
            <v>200</v>
          </cell>
          <cell r="V509">
            <v>500</v>
          </cell>
        </row>
        <row r="510">
          <cell r="A510">
            <v>507</v>
          </cell>
          <cell r="B510" t="str">
            <v>010.000.3666.01</v>
          </cell>
          <cell r="E510" t="str">
            <v>Almidón. Solución Inyectable al 6 % Cada 100 ml contienen: Poli (o-2 hidroxietil)-almidón (130000 daltons) o hidroxietil almidón (130/0.4) 6 g Envase con 500 ml.</v>
          </cell>
          <cell r="U510">
            <v>62659</v>
          </cell>
          <cell r="V510">
            <v>156646</v>
          </cell>
        </row>
        <row r="511">
          <cell r="A511">
            <v>508</v>
          </cell>
          <cell r="B511" t="str">
            <v>010.000.3671.00</v>
          </cell>
          <cell r="E511" t="str">
            <v>Cloruro de sodio. Solución Inyectable 0.9% Cada ampolleta de 10 ml contiene: Cloruro de sodio 0.09 g (Sodio 1.54 mEq) (Cloruro 1.54 mEq) Envase con 100 ampolletas de 10 ml.</v>
          </cell>
          <cell r="U511">
            <v>16224</v>
          </cell>
          <cell r="V511">
            <v>40558</v>
          </cell>
        </row>
        <row r="512">
          <cell r="A512">
            <v>509</v>
          </cell>
          <cell r="B512" t="str">
            <v>010.000.3673.00</v>
          </cell>
          <cell r="E512" t="str">
            <v>Agua Inyectable. Solución Inyectable Cada ampolleta contiene: Agua Inyectable 5 ml Envase con 100 ampolletas con 5 ml.</v>
          </cell>
          <cell r="U512">
            <v>53205</v>
          </cell>
          <cell r="V512">
            <v>133010</v>
          </cell>
        </row>
        <row r="513">
          <cell r="A513">
            <v>510</v>
          </cell>
          <cell r="B513" t="str">
            <v>010.000.3674.00</v>
          </cell>
          <cell r="E513" t="str">
            <v>Agua Inyectable. Solución Inyectable Cada ampolleta contiene: Agua Inyectable 10 ml Envase con 100 ampolletas con 10 ml.</v>
          </cell>
          <cell r="U513">
            <v>178235</v>
          </cell>
          <cell r="V513">
            <v>445586</v>
          </cell>
        </row>
        <row r="514">
          <cell r="A514">
            <v>511</v>
          </cell>
          <cell r="B514" t="str">
            <v>010.000.3675.00</v>
          </cell>
          <cell r="E514" t="str">
            <v>Agua Inyectable. Solución Inyectable Cada envase contiene: Agua Inyectable 500 ml Envase con 500 ml.</v>
          </cell>
          <cell r="U514">
            <v>10634449</v>
          </cell>
          <cell r="V514">
            <v>26586120</v>
          </cell>
        </row>
        <row r="515">
          <cell r="A515">
            <v>512</v>
          </cell>
          <cell r="B515" t="str">
            <v>010.000.3830.00</v>
          </cell>
          <cell r="E515" t="str">
            <v>L-ornitina L-aspartato. Granulado Cada sobre -contiene: L-ornitina-L-aspartato 3 g Envase con 10 sobres.</v>
          </cell>
          <cell r="U515">
            <v>43190</v>
          </cell>
          <cell r="V515">
            <v>107972</v>
          </cell>
        </row>
        <row r="516">
          <cell r="A516">
            <v>513</v>
          </cell>
          <cell r="B516" t="str">
            <v>010.000.3830.01</v>
          </cell>
          <cell r="E516" t="str">
            <v>L-ORNITINA L-ASPARTATO. GRANULADO CADA SOBRE CONTIENE: L-ORNITINA-L-ASPARTATO 3G ENVASE CON 30 SOBRES.</v>
          </cell>
          <cell r="U516">
            <v>79195</v>
          </cell>
          <cell r="V516">
            <v>197986</v>
          </cell>
        </row>
        <row r="517">
          <cell r="A517">
            <v>514</v>
          </cell>
          <cell r="B517" t="str">
            <v>010.000.4023.00</v>
          </cell>
          <cell r="E517" t="str">
            <v>ROSUVASTATINA. TABLETA CADA TABLETA CONTIENE: ROSUVASTATINA CALCICA EQUIVALENTEA 10 MG DE ROSUVASTATINA ENVASE CON 30 TABLETAS.</v>
          </cell>
          <cell r="U517">
            <v>173819</v>
          </cell>
          <cell r="V517">
            <v>434547</v>
          </cell>
        </row>
        <row r="518">
          <cell r="A518">
            <v>515</v>
          </cell>
          <cell r="B518" t="str">
            <v>010.000.4024.02</v>
          </cell>
          <cell r="E518" t="str">
            <v>EZETIMIBA. TABLETA CADA TABLETA CONTIENE: EZETIMIBA 10 MG ENVASE CON 14 TABLETAS.</v>
          </cell>
          <cell r="U518">
            <v>150</v>
          </cell>
          <cell r="V518">
            <v>375</v>
          </cell>
        </row>
        <row r="519">
          <cell r="A519">
            <v>516</v>
          </cell>
          <cell r="B519" t="str">
            <v>010.000.4024.03</v>
          </cell>
          <cell r="E519" t="str">
            <v>EZETIMIBA. TABLETA CADA TABLETA CONTIENE: EZETIMIBA 10 MG ENVASE CON 21 TABLETAS.</v>
          </cell>
          <cell r="U519">
            <v>8</v>
          </cell>
          <cell r="V519">
            <v>18</v>
          </cell>
        </row>
        <row r="520">
          <cell r="A520">
            <v>517</v>
          </cell>
          <cell r="B520" t="str">
            <v>010.000.4024.04</v>
          </cell>
          <cell r="E520" t="str">
            <v>EZETIMIBA. TABLETA CADA TABLETA CONTIENE: EZETIMIBA 10 MG ENVASE CON 28 TABLETAS.</v>
          </cell>
          <cell r="U520">
            <v>89316</v>
          </cell>
          <cell r="V520">
            <v>223290</v>
          </cell>
        </row>
        <row r="521">
          <cell r="A521">
            <v>518</v>
          </cell>
          <cell r="B521" t="str">
            <v>010.000.4024.05</v>
          </cell>
          <cell r="E521" t="str">
            <v>Ezetimiba. Tableta Cada Tableta contiene: Ezetimiba 10 mg Envase con 30 Tabletas.</v>
          </cell>
          <cell r="U521">
            <v>1137140</v>
          </cell>
          <cell r="V521">
            <v>2842846</v>
          </cell>
        </row>
        <row r="522">
          <cell r="A522">
            <v>519</v>
          </cell>
          <cell r="B522" t="str">
            <v>010.000.4025.00</v>
          </cell>
          <cell r="E522" t="str">
            <v>EZETIMIBA-SIMVASTATINA. COMPRIMIDO CADA COMPRIMIDO CONTIENE: EZETIMIBA 10 MG SIMVASTATINA 20 MG ENVASE CON 14 COMPRIMIDOS.</v>
          </cell>
          <cell r="U522">
            <v>2730104</v>
          </cell>
          <cell r="V522">
            <v>6825258</v>
          </cell>
        </row>
        <row r="523">
          <cell r="A523">
            <v>520</v>
          </cell>
          <cell r="B523" t="str">
            <v>010.000.4025.01</v>
          </cell>
          <cell r="E523" t="str">
            <v>EZETIMIBA-SIMVASTATINA. COMPRIMIDO CADA COMPRIMIDO CONTIENE: EZETIMIBA 10 MG SIMVASTATINA 20 MG ENVASE CON 28 COMPRIMIDOS.</v>
          </cell>
          <cell r="U523">
            <v>574292</v>
          </cell>
          <cell r="V523">
            <v>1435728</v>
          </cell>
        </row>
        <row r="524">
          <cell r="A524">
            <v>521</v>
          </cell>
          <cell r="B524" t="str">
            <v>010.000.4028.00</v>
          </cell>
          <cell r="E524" t="str">
            <v>Clonixinato de lisina solución inyectable cada ampolleta contiene: clonixinato de lisina 100 mg envase con 5 ampolletas de 2 ml.</v>
          </cell>
          <cell r="U524">
            <v>1118057</v>
          </cell>
          <cell r="V524">
            <v>2795140</v>
          </cell>
        </row>
        <row r="525">
          <cell r="A525">
            <v>522</v>
          </cell>
          <cell r="B525" t="str">
            <v>010.000.4031.00</v>
          </cell>
          <cell r="E525" t="str">
            <v>CAPSAICINA CREMA CADA 100 GRAMOS CONTIENE: EXTRACTO DE OLEORESINA DEL CAPSICUM ANNUUNA EQUIVALENTE A 0.035 G DE CAPSAICINA. ENVASE CON 40 G.</v>
          </cell>
          <cell r="U525">
            <v>9966</v>
          </cell>
          <cell r="V525">
            <v>24912</v>
          </cell>
        </row>
        <row r="526">
          <cell r="A526">
            <v>523</v>
          </cell>
          <cell r="B526" t="str">
            <v>010.000.4036.00</v>
          </cell>
          <cell r="E526" t="str">
            <v>ETOFENAMATO SOLUCION INYECTABLE CADA AMPOLLETA CONTIENE: ETOFENAMATO 1 G ENVASE CON UNA AMPOLLETA DE 2 ML.</v>
          </cell>
          <cell r="U526">
            <v>338111</v>
          </cell>
          <cell r="V526">
            <v>845276</v>
          </cell>
        </row>
        <row r="527">
          <cell r="A527">
            <v>524</v>
          </cell>
          <cell r="B527" t="str">
            <v>010.000.4055.00</v>
          </cell>
          <cell r="E527" t="str">
            <v>Bupivacaína. Solución inyectable. Cada ampolleta contiene: Clorhidrato de bupivacaína 15 mg dextrosa anhídra o glucosa anhídra 240 mg ó Glucosa monohidratada equivalente a 240 mg de glucosa anhídra. Envase con 5 ampolletas con 3 ml.</v>
          </cell>
          <cell r="U527">
            <v>264464</v>
          </cell>
          <cell r="V527">
            <v>661158</v>
          </cell>
        </row>
        <row r="528">
          <cell r="A528">
            <v>525</v>
          </cell>
          <cell r="B528" t="str">
            <v>010.000.4058.01</v>
          </cell>
          <cell r="E528" t="str">
            <v>SOLUCION INYECTABLE  CADA CARTUCHO DENTAL CONTIENE: CLORHIDRATO DE PRILOCAINA54 MG FELIPRESINA 0.054 UI ENVASE CON 50 CARTUCHO CON 1.8 ML.</v>
          </cell>
          <cell r="U528">
            <v>8894</v>
          </cell>
          <cell r="V528">
            <v>22234</v>
          </cell>
        </row>
        <row r="529">
          <cell r="A529">
            <v>526</v>
          </cell>
          <cell r="B529" t="str">
            <v>010.000.4059.00</v>
          </cell>
          <cell r="E529" t="str">
            <v>Rocuronio bromuro de. Solución Inyectable Cada ampolleta o frasco ámpula contiene: Bromuro de rocuronio 50 mg Envase con 12 ampolletas o frascos ámpula de 5 ml.</v>
          </cell>
          <cell r="U529">
            <v>42181</v>
          </cell>
          <cell r="V529">
            <v>105449</v>
          </cell>
        </row>
        <row r="530">
          <cell r="A530">
            <v>527</v>
          </cell>
          <cell r="B530" t="str">
            <v>010.000.4061.00</v>
          </cell>
          <cell r="E530" t="str">
            <v>Cisatracurio besilato de. Solución InyectableCada ml contiene:Besilato de cisatracurioequivalente a 2 mgde cisatracurioEnvase con 1 ampolleta con 5 ml.</v>
          </cell>
          <cell r="U530">
            <v>340014</v>
          </cell>
          <cell r="V530">
            <v>850033</v>
          </cell>
        </row>
        <row r="531">
          <cell r="A531">
            <v>528</v>
          </cell>
          <cell r="B531" t="str">
            <v>010.000.4095.00</v>
          </cell>
          <cell r="E531" t="str">
            <v>Irbesartán. Tableta Cada Tableta contiene: Irbesartán 150 mg Envase con 28 Tabletas.</v>
          </cell>
          <cell r="U531">
            <v>1435130</v>
          </cell>
          <cell r="V531">
            <v>3587825</v>
          </cell>
        </row>
        <row r="532">
          <cell r="A532">
            <v>529</v>
          </cell>
          <cell r="B532" t="str">
            <v>010.000.4096.00</v>
          </cell>
          <cell r="E532" t="str">
            <v>Irbesartán. Tableta Cada Tableta contiene: Irbesartán 300 mg Envase con 28 Tabletas.</v>
          </cell>
          <cell r="U532">
            <v>16649</v>
          </cell>
          <cell r="V532">
            <v>41620</v>
          </cell>
        </row>
        <row r="533">
          <cell r="A533">
            <v>530</v>
          </cell>
          <cell r="B533" t="str">
            <v>010.000.4097.00</v>
          </cell>
          <cell r="E533" t="str">
            <v>Irbesartán-hidroclorotiazida. Tableta Cada Tableta contiene: Irbesartán 150 mg Hidroclorotiazida 12.5 mg Envase con 28 Tabletas.</v>
          </cell>
          <cell r="U533">
            <v>2949842</v>
          </cell>
          <cell r="V533">
            <v>7374603</v>
          </cell>
        </row>
        <row r="534">
          <cell r="A534">
            <v>531</v>
          </cell>
          <cell r="B534" t="str">
            <v>010.000.4098.00</v>
          </cell>
          <cell r="E534" t="str">
            <v>Irbesartán-hidroclorotiazida. Tableta Cada Tableta contiene: Irbesartán 300 mg Hidroclorotiazida 12.5 mg Envase con 28 Tabletas.</v>
          </cell>
          <cell r="U534">
            <v>5447</v>
          </cell>
          <cell r="V534">
            <v>13616</v>
          </cell>
        </row>
        <row r="535">
          <cell r="A535">
            <v>532</v>
          </cell>
          <cell r="B535" t="str">
            <v>010.000.4107.00</v>
          </cell>
          <cell r="E535" t="str">
            <v>Amiodarona. Solución Inyectable. Cada ampolleta contiene: Clorhidrato de amiodarona 150 mg Envase con 6 ampolletas de 3 ml.</v>
          </cell>
          <cell r="U535">
            <v>107916</v>
          </cell>
          <cell r="V535">
            <v>269788</v>
          </cell>
        </row>
        <row r="536">
          <cell r="A536">
            <v>533</v>
          </cell>
          <cell r="B536" t="str">
            <v>010.000.4110.00</v>
          </cell>
          <cell r="E536" t="str">
            <v>Amiodarona. Tableta. Cada tableta contiene: Clorhidrato de amiodarona 200 mg. Envase con 20 tabletas.</v>
          </cell>
          <cell r="U536">
            <v>818543</v>
          </cell>
          <cell r="V536">
            <v>2046355</v>
          </cell>
        </row>
        <row r="537">
          <cell r="A537">
            <v>534</v>
          </cell>
          <cell r="B537" t="str">
            <v>010.000.4111.00</v>
          </cell>
          <cell r="E537" t="str">
            <v>Trinitrato de glicerilo. Parche Cada Parche libera: Trinitrato de glicerilo 5 mg/día Envase con 7 Parches..</v>
          </cell>
          <cell r="U537">
            <v>798697</v>
          </cell>
          <cell r="V537">
            <v>1996740</v>
          </cell>
        </row>
        <row r="538">
          <cell r="A538">
            <v>535</v>
          </cell>
          <cell r="B538" t="str">
            <v>010.000.4112.00</v>
          </cell>
          <cell r="E538">
            <v>5</v>
          </cell>
          <cell r="U538">
            <v>48984</v>
          </cell>
          <cell r="V538">
            <v>122459</v>
          </cell>
        </row>
        <row r="539">
          <cell r="A539">
            <v>536</v>
          </cell>
          <cell r="B539" t="str">
            <v>010.000.4117.00</v>
          </cell>
          <cell r="E539" t="str">
            <v>Pentoxifilina. Tableta o Gragea de Liberación Prolongada Cada Tableta o Gragea contiene: Pentoxifilina 400 mg Envase con 30 Tabletas o Grageas.</v>
          </cell>
          <cell r="U539">
            <v>5548101</v>
          </cell>
          <cell r="V539">
            <v>13870249</v>
          </cell>
        </row>
        <row r="540">
          <cell r="A540">
            <v>537</v>
          </cell>
          <cell r="B540" t="str">
            <v>010.000.4118.00</v>
          </cell>
          <cell r="E540" t="str">
            <v>Isosorbida dinitrato de. Solución inyectable Cada ml contiene: Dinitrato de isosorbida 1 mg Envase con 100 ml (1 mg/1 ml)</v>
          </cell>
          <cell r="U540">
            <v>4928</v>
          </cell>
          <cell r="V540">
            <v>12319</v>
          </cell>
        </row>
        <row r="541">
          <cell r="A541">
            <v>538</v>
          </cell>
          <cell r="B541" t="str">
            <v>010.000.4118.01</v>
          </cell>
          <cell r="E541" t="str">
            <v>Isosorbida dinitrato de. Solución inyectable Cada ml contiene: Dinitrato de isosorbida 1 mg Envase con 10 apolletas con 10 ml (10 mg/10 ml)</v>
          </cell>
          <cell r="U541">
            <v>48663</v>
          </cell>
          <cell r="V541">
            <v>121655</v>
          </cell>
        </row>
        <row r="542">
          <cell r="A542">
            <v>539</v>
          </cell>
          <cell r="B542" t="str">
            <v>010.000.4120.00</v>
          </cell>
          <cell r="E542" t="str">
            <v>ISOSORBIDA MONONITRATO DE TABLETA CADA TABLETA CONTIENE: 5-MONONITRATO DEISOSORBIDA 20 MG ENVASE CON 20 TABLETAS.</v>
          </cell>
          <cell r="U542">
            <v>6870</v>
          </cell>
          <cell r="V542">
            <v>17171</v>
          </cell>
        </row>
        <row r="543">
          <cell r="A543">
            <v>540</v>
          </cell>
          <cell r="B543" t="str">
            <v>010.000.4121.00</v>
          </cell>
          <cell r="E543" t="str">
            <v>Isosorbida mononitrato de. Tableta Cada Tableta contiene: 5-mononitrato de isosorbida 40 mg Envase con 20 Tabletas.</v>
          </cell>
          <cell r="U543">
            <v>840</v>
          </cell>
          <cell r="V543">
            <v>2098</v>
          </cell>
        </row>
        <row r="544">
          <cell r="A544">
            <v>541</v>
          </cell>
          <cell r="B544" t="str">
            <v>010.000.4122.00</v>
          </cell>
          <cell r="E544" t="str">
            <v>Pentoxifilina. Solución Inyectable Cada ampolleta contiene: Pentoxifilina 300 mg Envase con 4 ampolletas con 15 ml.</v>
          </cell>
          <cell r="U544">
            <v>38</v>
          </cell>
          <cell r="V544">
            <v>93</v>
          </cell>
        </row>
        <row r="545">
          <cell r="A545">
            <v>542</v>
          </cell>
          <cell r="B545" t="str">
            <v>010.000.4122.01</v>
          </cell>
          <cell r="E545" t="str">
            <v>Pentoxifilina. Solución Inyectable Cada ampolleta contiene: Pentoxifilina 300 mg Envase con 5 ampolletas con 15 ml.</v>
          </cell>
          <cell r="U545">
            <v>82</v>
          </cell>
          <cell r="V545">
            <v>202</v>
          </cell>
        </row>
        <row r="546">
          <cell r="A546">
            <v>543</v>
          </cell>
          <cell r="B546" t="str">
            <v>010.000.4123.01</v>
          </cell>
          <cell r="E546" t="str">
            <v>Tirofiban. Solución inyectable Cada frasco ámpula o bolsa contiene: Clorhidrato de tirofiban equivalente a 12.5 mg de tirofiban. Envase con una bolsa con 250 ml.</v>
          </cell>
          <cell r="U546">
            <v>300</v>
          </cell>
          <cell r="V546">
            <v>750</v>
          </cell>
        </row>
        <row r="547">
          <cell r="A547">
            <v>544</v>
          </cell>
          <cell r="B547" t="str">
            <v>010.000.4124.00</v>
          </cell>
          <cell r="E547" t="str">
            <v>Simvastatina. Tableta Cada Tableta contiene: Simvastatina 20 mg Envase con 14 Tabletas.</v>
          </cell>
          <cell r="U547">
            <v>360</v>
          </cell>
          <cell r="V547">
            <v>900</v>
          </cell>
        </row>
        <row r="548">
          <cell r="A548">
            <v>545</v>
          </cell>
          <cell r="B548" t="str">
            <v>010.000.4124.01</v>
          </cell>
          <cell r="E548" t="str">
            <v>Simvastatina. Tableta Cada Tableta contiene: Simvastatina 20 mg Envase con 30 Tabletas.</v>
          </cell>
          <cell r="U548">
            <v>67241</v>
          </cell>
          <cell r="V548">
            <v>168102</v>
          </cell>
        </row>
        <row r="549">
          <cell r="A549">
            <v>546</v>
          </cell>
          <cell r="B549" t="str">
            <v>010.000.4126.00</v>
          </cell>
          <cell r="E549" t="str">
            <v>SULFADIAZINA DE PLATA. CREMA 
  Cada 100 gramos contiene: 
  Sulfadiazina de plata 
  micronizada 1 g. 
  Envase con 375 g.</v>
          </cell>
          <cell r="U549">
            <v>251959</v>
          </cell>
          <cell r="V549">
            <v>629895</v>
          </cell>
        </row>
        <row r="550">
          <cell r="A550">
            <v>547</v>
          </cell>
          <cell r="B550" t="str">
            <v>010.000.4131.00</v>
          </cell>
          <cell r="E550" t="str">
            <v>PIMECROLIMUS. CREMA CADA 100 G CONTIENE: PIMECROLIMUS 1 G ENVASE CON 15 G.</v>
          </cell>
          <cell r="U550">
            <v>120</v>
          </cell>
          <cell r="V550">
            <v>300</v>
          </cell>
        </row>
        <row r="551">
          <cell r="A551">
            <v>548</v>
          </cell>
          <cell r="B551" t="str">
            <v>010.000.4132.00</v>
          </cell>
          <cell r="E551" t="str">
            <v>Mometasona. Ungüento Cada 100 gramos contienen: Furoato de mometasona 0.100 g Envase con 30 g.</v>
          </cell>
          <cell r="U551">
            <v>13783</v>
          </cell>
          <cell r="V551">
            <v>34456</v>
          </cell>
        </row>
        <row r="552">
          <cell r="A552">
            <v>549</v>
          </cell>
          <cell r="B552" t="str">
            <v>010.000.4133.00</v>
          </cell>
          <cell r="E552" t="str">
            <v>Mometasona. Loción Cada 100 mililitro contienen: Furoato de mometasona 0.100 g Envase con 30 ml.</v>
          </cell>
          <cell r="U552">
            <v>100</v>
          </cell>
          <cell r="V552">
            <v>250</v>
          </cell>
        </row>
        <row r="553">
          <cell r="A553">
            <v>550</v>
          </cell>
          <cell r="B553" t="str">
            <v>010.000.4133.01</v>
          </cell>
          <cell r="E553" t="str">
            <v>MOMETASONA. LOCIÓN CADA 100 MILILITRO CONTIENEN: FUROATO DE MOMETASONA 0.100 G ENVASE CON 60 ML.</v>
          </cell>
          <cell r="U553">
            <v>2652</v>
          </cell>
          <cell r="V553">
            <v>6628</v>
          </cell>
        </row>
        <row r="554">
          <cell r="A554">
            <v>551</v>
          </cell>
          <cell r="B554" t="str">
            <v>010.000.4134.01</v>
          </cell>
          <cell r="E554" t="str">
            <v>HIDROQUINONA. CREMA 
  Cada 100 gramos contienen: 
  Hidroquinona 4.0 g. Envase con 30 g.</v>
          </cell>
          <cell r="U554">
            <v>7769</v>
          </cell>
          <cell r="V554">
            <v>19422</v>
          </cell>
        </row>
        <row r="555">
          <cell r="A555">
            <v>552</v>
          </cell>
          <cell r="B555" t="str">
            <v>010.000.4136.00</v>
          </cell>
          <cell r="E555" t="str">
            <v>CLINDAMICINAGEL 
  Cada 100 gramos contienen: 
  Fosfato de clindamicina equivalente a 
  1 g. de clindamicina. 
  Envase con 30 g.</v>
          </cell>
          <cell r="U555">
            <v>4576</v>
          </cell>
          <cell r="V555">
            <v>11439</v>
          </cell>
        </row>
        <row r="556">
          <cell r="A556">
            <v>553</v>
          </cell>
          <cell r="B556" t="str">
            <v>010.000.4137.00</v>
          </cell>
          <cell r="E556" t="str">
            <v>TRETINOÍNA CREMA. Cada 100 gramos contienen:
  Tretinoína 0.05 g. Envase con 30 g.</v>
          </cell>
          <cell r="U556">
            <v>144</v>
          </cell>
          <cell r="V556">
            <v>360</v>
          </cell>
        </row>
        <row r="557">
          <cell r="A557">
            <v>554</v>
          </cell>
          <cell r="B557" t="str">
            <v>010.000.4139.01</v>
          </cell>
          <cell r="E557" t="str">
            <v>MINOCICLINA. GRAGEA CADA GRAGEA CONTIENE CLORHIDRATO DE MINOCICLINA EQUIVALENTE A 100 MG DE MINOCICLINA. ENVASE CON 48 GRAGEAS.</v>
          </cell>
          <cell r="U557">
            <v>743</v>
          </cell>
          <cell r="V557">
            <v>1855</v>
          </cell>
        </row>
        <row r="558">
          <cell r="A558">
            <v>555</v>
          </cell>
          <cell r="B558" t="str">
            <v>010.000.4140.00</v>
          </cell>
          <cell r="E558" t="str">
            <v>Imiquimod. Crema al 5% Cada sobre contiene: Imiquimod 12.5 mg Envase con 12 sobres que contienen 250 mg de Crema.</v>
          </cell>
          <cell r="U558">
            <v>83422</v>
          </cell>
          <cell r="V558">
            <v>208553</v>
          </cell>
        </row>
        <row r="559">
          <cell r="A559">
            <v>556</v>
          </cell>
          <cell r="B559" t="str">
            <v>010.000.4141.00</v>
          </cell>
          <cell r="E559" t="str">
            <v>MOMETASONA. SUSPENSIÓN PARA INHALACIÓN
  Cada 100 mL contienen:
  Furoato de mometasona
  monohidratada equivalente a 0.050 g
  de furoato de mometasona anhidro.
  Envase nebulizador con 18 mL y
  válvula dosificadora (140
  nebulizaciones de 50 μg cada una).</v>
          </cell>
          <cell r="U559">
            <v>615421</v>
          </cell>
          <cell r="V559">
            <v>1538552</v>
          </cell>
        </row>
        <row r="560">
          <cell r="A560">
            <v>557</v>
          </cell>
          <cell r="B560" t="str">
            <v>010.000.4142.00</v>
          </cell>
          <cell r="E560" t="str">
            <v>Folitropina beta. Solución Inyectable Cada frasco ámpula con solución contiene: Folitropina beta 50 UI. Envase con un frasco ámpula con 0.5 ml.</v>
          </cell>
          <cell r="U560">
            <v>2572</v>
          </cell>
          <cell r="V560">
            <v>6429</v>
          </cell>
        </row>
        <row r="561">
          <cell r="A561">
            <v>558</v>
          </cell>
          <cell r="B561" t="str">
            <v>010.000.4144.01</v>
          </cell>
          <cell r="E561" t="str">
            <v>FOLITROPINA ALFA O FOLITROPINA BETA. SOLUCION INYECTABLE CADA CARTUCHO CON SOLUCION CONTIENE: FOLITROPINA BETA (FSH-RECOMBINANTE) 600 UI ENVASE CON CARTUCHO CON 0.720 ML Y 7 AGUJAS.</v>
          </cell>
          <cell r="U561">
            <v>244</v>
          </cell>
          <cell r="V561">
            <v>610</v>
          </cell>
        </row>
        <row r="562">
          <cell r="A562">
            <v>559</v>
          </cell>
          <cell r="B562" t="str">
            <v>010.000.4149.00</v>
          </cell>
          <cell r="E562" t="str">
            <v>Pioglitazona. Tableta Cada Tableta contiene: Clorhidrato de pioglitazona equivalente a 15 mg de pioglitazona. Envase con 7 Tabletas.</v>
          </cell>
          <cell r="U562">
            <v>14551789</v>
          </cell>
          <cell r="V562">
            <v>36379469</v>
          </cell>
        </row>
        <row r="563">
          <cell r="A563">
            <v>560</v>
          </cell>
          <cell r="B563" t="str">
            <v>010.000.4150.01</v>
          </cell>
          <cell r="E563" t="str">
            <v>Rosiglitazona. Tableta Cada Tableta contiene: Maleato de rosiglitazona equivalente a 4 mg de rosiglitazona Envase con 28 Tabletas</v>
          </cell>
          <cell r="U563">
            <v>40</v>
          </cell>
          <cell r="V563">
            <v>100</v>
          </cell>
        </row>
        <row r="564">
          <cell r="A564">
            <v>561</v>
          </cell>
          <cell r="B564" t="str">
            <v>010.000.4152.00</v>
          </cell>
          <cell r="E564" t="str">
            <v>Sitagliptina. Comprimido Cada Comprimido contiene: Fosfato de sitagliptina monohidratada equivalente a 100 mg de sitagliptina Envase con 14 Comprimidos.</v>
          </cell>
          <cell r="U564">
            <v>540</v>
          </cell>
          <cell r="V564">
            <v>1350</v>
          </cell>
        </row>
        <row r="565">
          <cell r="A565">
            <v>562</v>
          </cell>
          <cell r="B565" t="str">
            <v>010.000.4153.00</v>
          </cell>
          <cell r="E565" t="str">
            <v>SITAGLIPTINA. COMPRIMIDO CADA COMPRIMIDO CONTIENE: FOSFATO DE SITAGLIPTINA MONOHIDRATADA EQUIVALENTE A 50 MG DE SITAGLIPTINA ENVASE CON 14 COMPRIMIDOS.</v>
          </cell>
          <cell r="U565">
            <v>500</v>
          </cell>
          <cell r="V565">
            <v>1250</v>
          </cell>
        </row>
        <row r="566">
          <cell r="A566">
            <v>563</v>
          </cell>
          <cell r="B566" t="str">
            <v>010.000.4154.00</v>
          </cell>
          <cell r="E566" t="str">
            <v>Vasopresina. Solución Inyectable Cada ampolleta contiene: Vasopresina 20 UI Envase con una ampolleta.</v>
          </cell>
          <cell r="U566">
            <v>210671</v>
          </cell>
          <cell r="V566">
            <v>526675</v>
          </cell>
        </row>
        <row r="567">
          <cell r="A567">
            <v>564</v>
          </cell>
          <cell r="B567" t="str">
            <v>010.000.4155.01</v>
          </cell>
          <cell r="E567" t="str">
            <v>GONADOTROFINAS POSTMENOPÁUSICAS HUMANAS. SOLUCIÓN INYECTABLE CADA FRASCO ÁMPULA CON LIOFILIZADO CONTIENE: HORMONA ESTIMULANTE DEL FOLÍCULO (FSH) 75 UI HORMONA LUTEINIZANTE (LH) 75 UI ENVASE CON 5 FRASCOS ÁMPULA Y 5 AMPOLLETAS CON 1 ML DE DILUYENTE.</v>
          </cell>
          <cell r="U567">
            <v>3862</v>
          </cell>
          <cell r="V567">
            <v>9653</v>
          </cell>
        </row>
        <row r="568">
          <cell r="A568">
            <v>565</v>
          </cell>
          <cell r="B568" t="str">
            <v>010.000.4157.00</v>
          </cell>
          <cell r="E568" t="str">
            <v>Insulina humana. Suspensión Inyectable Acción INTERMEDIA LENTA Cada ml contiene: Insulina zinc compuesta humana (origen ADN recombinante) 100 UI Envase con un frasco ámpula con 10 ml.</v>
          </cell>
          <cell r="U568">
            <v>724141</v>
          </cell>
          <cell r="V568">
            <v>1810351</v>
          </cell>
        </row>
        <row r="569">
          <cell r="A569">
            <v>566</v>
          </cell>
          <cell r="B569" t="str">
            <v>010.000.4158.00</v>
          </cell>
          <cell r="E569" t="str">
            <v>Insulina glargina. Solución Inyectable Cada ml de Solución contiene: Insulina glargina 3.64 mg equivalente a 100.0 UI de insulina humana. Envase con un frasco ámpula con 10 ml.</v>
          </cell>
          <cell r="U569">
            <v>10045225</v>
          </cell>
          <cell r="V569">
            <v>25113060</v>
          </cell>
        </row>
        <row r="570">
          <cell r="A570">
            <v>567</v>
          </cell>
          <cell r="B570" t="str">
            <v>010.000.4158.01</v>
          </cell>
          <cell r="E570" t="str">
            <v>Insulina glargina. Solución Inyectable Cada ml de Solución contiene: Insulina glargina 3.64 mg equivalente a 100.0 UI de insulina humana. Envase con 5 cartuchos de vidrio con 3 ml en dispositivo desechable.</v>
          </cell>
          <cell r="U570">
            <v>855401</v>
          </cell>
          <cell r="V570">
            <v>2138502</v>
          </cell>
        </row>
        <row r="571">
          <cell r="A571">
            <v>568</v>
          </cell>
          <cell r="B571" t="str">
            <v>010.000.4160.00</v>
          </cell>
          <cell r="E571" t="str">
            <v>Fludrocortisona. Comprimido Cada Comprimido contiene: Acetato de fludrocortisona 0.1 mg Envase con 100 Comprimidos.</v>
          </cell>
          <cell r="U571">
            <v>31288</v>
          </cell>
          <cell r="V571">
            <v>78220</v>
          </cell>
        </row>
        <row r="572">
          <cell r="A572">
            <v>569</v>
          </cell>
          <cell r="B572" t="str">
            <v>010.000.4161.00</v>
          </cell>
          <cell r="E572" t="str">
            <v>Ácido alendrónico. Tableta o Comprimido Cada Tableta o Comprimido contiene alendronato de sodio equivalente a 10 mg de ácido alendrónico. Envase con 30 Tabletas o Comprimidos.</v>
          </cell>
          <cell r="U572">
            <v>418189</v>
          </cell>
          <cell r="V572">
            <v>1045470</v>
          </cell>
        </row>
        <row r="573">
          <cell r="A573">
            <v>570</v>
          </cell>
          <cell r="B573" t="str">
            <v>010.000.4162.00</v>
          </cell>
          <cell r="E573" t="str">
            <v>Insulina lispro. Solución Inyectable. Cada ml contiene: Insulina lispro (origen ADN recombinante) 100 UI Envase con un frasco ámpula con 10 ml.</v>
          </cell>
          <cell r="U573">
            <v>507506</v>
          </cell>
          <cell r="V573">
            <v>1268763</v>
          </cell>
        </row>
        <row r="574">
          <cell r="A574">
            <v>571</v>
          </cell>
          <cell r="B574" t="str">
            <v>010.000.4163.01</v>
          </cell>
          <cell r="E574" t="str">
            <v>Raloxifeno. Tableta Cada Tableta contiene: Clorhidrato de raloxifeno 60 mg Envase con 28 Tabletas</v>
          </cell>
          <cell r="U574">
            <v>165298</v>
          </cell>
          <cell r="V574">
            <v>413243</v>
          </cell>
        </row>
        <row r="575">
          <cell r="A575">
            <v>572</v>
          </cell>
          <cell r="B575" t="str">
            <v>010.000.4164.00</v>
          </cell>
          <cell r="E575" t="str">
            <v>Ácido alendrónico. Tableta o Comprimido Cada Tableta o Comprimido contiene: alendronato de sodio equivalente a 70 mg de ácido alendrónico. Envase con 4 Tabletas o Comprimidos.</v>
          </cell>
          <cell r="U575">
            <v>180890</v>
          </cell>
          <cell r="V575">
            <v>452223</v>
          </cell>
        </row>
        <row r="576">
          <cell r="A576">
            <v>573</v>
          </cell>
          <cell r="B576" t="str">
            <v>010.000.4166.00</v>
          </cell>
          <cell r="E576" t="str">
            <v>ÁCIDO RISEDRÓNICO. GRAGEA O TABLETA CADA GRAGEA O TABLETA CONTIENE: RISEDRONATO SÓDICO 5 MG ENVASE CON 28 GRAGEAS O TABLETAS.</v>
          </cell>
          <cell r="U576">
            <v>97664</v>
          </cell>
          <cell r="V576">
            <v>244157</v>
          </cell>
        </row>
        <row r="577">
          <cell r="A577">
            <v>574</v>
          </cell>
          <cell r="B577" t="str">
            <v>010.000.4167.00</v>
          </cell>
          <cell r="E577" t="str">
            <v>Ácido risedrónico. Gragea o Tableta Cada Gragea o Tableta contiene: Risedronato sódico 35 mg Envase con 4 Grageas o Tabletas.</v>
          </cell>
          <cell r="U577">
            <v>435851</v>
          </cell>
          <cell r="V577">
            <v>1089626</v>
          </cell>
        </row>
        <row r="578">
          <cell r="A578">
            <v>575</v>
          </cell>
          <cell r="B578" t="str">
            <v>010.000.4169.01</v>
          </cell>
          <cell r="E578" t="str">
            <v>EXENATIDA. SOLUCION INYECTABLE CADA ML CONTIENE: EXENATIDA 250 MICROGRAMOSENVASE PLUMA CON 10 MICROGRAMOS/DOSIS (60 DOSIS/2.4 ML).</v>
          </cell>
          <cell r="U578">
            <v>1083</v>
          </cell>
          <cell r="V578">
            <v>2705</v>
          </cell>
        </row>
        <row r="579">
          <cell r="A579">
            <v>576</v>
          </cell>
          <cell r="B579" t="str">
            <v>010.000.4174.00</v>
          </cell>
          <cell r="E579" t="str">
            <v>Teriparatida. Solución Inyectable Cada mililitro contiene: Teriparatida 250 µg Envase con pluma con cartucho ensamblado de 2.4 ml.</v>
          </cell>
          <cell r="U579">
            <v>8981</v>
          </cell>
          <cell r="V579">
            <v>22449</v>
          </cell>
        </row>
        <row r="580">
          <cell r="A580">
            <v>577</v>
          </cell>
          <cell r="B580" t="str">
            <v>010.000.4175.00</v>
          </cell>
          <cell r="E580" t="str">
            <v>Mesalazina. Supositorio. Cada supositorio contiene: Mesalazina 1 g. Envase con 14 supositorios.</v>
          </cell>
          <cell r="U580">
            <v>3116</v>
          </cell>
          <cell r="V580">
            <v>7788</v>
          </cell>
        </row>
        <row r="581">
          <cell r="A581">
            <v>578</v>
          </cell>
          <cell r="B581" t="str">
            <v>010.000.4175.01</v>
          </cell>
          <cell r="E581" t="str">
            <v>Mesalazina. Supositorio Cada Supositorio contiene: Mesalazina 1 g Envase con 28 Supositorios.</v>
          </cell>
          <cell r="U581">
            <v>14399</v>
          </cell>
          <cell r="V581">
            <v>35996</v>
          </cell>
        </row>
        <row r="582">
          <cell r="A582">
            <v>579</v>
          </cell>
          <cell r="B582" t="str">
            <v>010.000.4176.00</v>
          </cell>
          <cell r="E582" t="str">
            <v>Neomicina. Cápsula o Tableta Cada Tableta o Cápsula contiene: Sulfato de neomicina equivalente a 250 mg de neomicina. Envase con 10 Cápsulas o Tabletas.</v>
          </cell>
          <cell r="U582">
            <v>58726</v>
          </cell>
          <cell r="V582">
            <v>146812</v>
          </cell>
        </row>
        <row r="583">
          <cell r="A583">
            <v>580</v>
          </cell>
          <cell r="B583" t="str">
            <v>010.000.4184.00</v>
          </cell>
          <cell r="E583" t="str">
            <v>Loperamida. Comprimido tableta o gragea. Cada comprimido tableta o gragea contiene: Clorhidrato de loperamida 2 mg. Envase con 12 comprimidos tabletas o grageas.</v>
          </cell>
          <cell r="U583">
            <v>2390600</v>
          </cell>
          <cell r="V583">
            <v>5976497</v>
          </cell>
        </row>
        <row r="584">
          <cell r="A584">
            <v>581</v>
          </cell>
          <cell r="B584" t="str">
            <v>010.000.4185.00</v>
          </cell>
          <cell r="E584" t="str">
            <v>Ácido ursodeoxicólico. Cápsula Cada Cápsula contiene: Ácido ursodeoxicólico 250 mg Envase con 50 Cápsulas</v>
          </cell>
          <cell r="U584">
            <v>401791</v>
          </cell>
          <cell r="V584">
            <v>1004476</v>
          </cell>
        </row>
        <row r="585">
          <cell r="A585">
            <v>582</v>
          </cell>
          <cell r="B585" t="str">
            <v>010.000.4185.01</v>
          </cell>
          <cell r="E585" t="str">
            <v>Ácido ursodeoxicólico. Cápsula Cada Cápsula contiene: Ácido ursodeoxicólico 250 mg Envase con 60 Cápsulas</v>
          </cell>
          <cell r="U585">
            <v>1918</v>
          </cell>
          <cell r="V585">
            <v>4795</v>
          </cell>
        </row>
        <row r="586">
          <cell r="A586">
            <v>583</v>
          </cell>
          <cell r="B586" t="str">
            <v>010.000.4186.06</v>
          </cell>
          <cell r="E586" t="str">
            <v>MESALAZINA. TABLETA DE LIBERACION RETARDADA. CADA TABLETA DE LIBERACIONRETARDADA CONTIENE: MESALAZINA 500 MG. ENVASE CON 40 TABLETAS DE LIBERACIONRETARDADA.</v>
          </cell>
          <cell r="U586">
            <v>38270</v>
          </cell>
          <cell r="V586">
            <v>95672</v>
          </cell>
        </row>
        <row r="587">
          <cell r="A587">
            <v>584</v>
          </cell>
          <cell r="B587" t="str">
            <v>010.000.4186.07</v>
          </cell>
          <cell r="E587" t="str">
            <v>MESALAZINA. TABLETA DE LIBERACION RETARDADA. CADA TABLETA DE LIBERACIONRETARDADA CONTIENE: MESALAZINA 500 MG. ENVASE CON 60 TABLETAS DE LIBERACIONRETARDADA.</v>
          </cell>
          <cell r="U587">
            <v>3187</v>
          </cell>
          <cell r="V587">
            <v>7965</v>
          </cell>
        </row>
        <row r="588">
          <cell r="A588">
            <v>585</v>
          </cell>
          <cell r="B588" t="str">
            <v>010.000.4188.00</v>
          </cell>
          <cell r="E588" t="str">
            <v>Pancreatina. Cápsula o gragea con capa entérica. Cada cápsula o gragea contiene pancreatina 300 mg Lipasa. Proteasa. Amilasa. Envase con 30 cápsulas o grageas con capa entérica.</v>
          </cell>
          <cell r="U588">
            <v>3201</v>
          </cell>
          <cell r="V588">
            <v>7999</v>
          </cell>
        </row>
        <row r="589">
          <cell r="A589">
            <v>586</v>
          </cell>
          <cell r="B589" t="str">
            <v>010.000.4188.01</v>
          </cell>
          <cell r="E589" t="str">
            <v>Pancreatina. Cápsula o gragea con capa entérica. Cada cápsula o gragea contiene pancreatina 300 mg Lipasa. Proteasa. Amilasa. Envase con 50 cápsulas o grageas con capa entérica.</v>
          </cell>
          <cell r="U589">
            <v>14186</v>
          </cell>
          <cell r="V589">
            <v>35463</v>
          </cell>
        </row>
        <row r="590">
          <cell r="A590">
            <v>587</v>
          </cell>
          <cell r="B590" t="str">
            <v>010.000.4191.00</v>
          </cell>
          <cell r="E590" t="str">
            <v>Polietilenglicol. Polvo .Cada sobre contiene: Polietilenglicol 3350 105 g. Envase con 4 sobres.</v>
          </cell>
          <cell r="U590">
            <v>278253</v>
          </cell>
          <cell r="V590">
            <v>695630</v>
          </cell>
        </row>
        <row r="591">
          <cell r="A591">
            <v>588</v>
          </cell>
          <cell r="B591" t="str">
            <v>010.000.4201.00</v>
          </cell>
          <cell r="E591" t="str">
            <v>Hidralazina. Solución Inyectable Cada ampolleta o frasco ámpula contiene: Clorhidrato de hidralazina 20 mg Envase con 5 ampolletas o 5 frascos ámpula con 1.0 ml</v>
          </cell>
          <cell r="U591">
            <v>96003</v>
          </cell>
          <cell r="V591">
            <v>240005</v>
          </cell>
        </row>
        <row r="592">
          <cell r="A592">
            <v>589</v>
          </cell>
          <cell r="B592" t="str">
            <v>010.000.4206.00</v>
          </cell>
          <cell r="E592" t="str">
            <v>Estriol. Crema Cada 100 g contienen: Estriol 100 mg Envase con 15 g.</v>
          </cell>
          <cell r="U592">
            <v>28076</v>
          </cell>
          <cell r="V592">
            <v>70188</v>
          </cell>
        </row>
        <row r="593">
          <cell r="A593">
            <v>590</v>
          </cell>
          <cell r="B593" t="str">
            <v>010.000.4207.00</v>
          </cell>
          <cell r="E593" t="str">
            <v>Progesterona. Gel Cada aplicador contiene: Progesterona 90 mg Envase con 6 Aplicadores.</v>
          </cell>
          <cell r="U593">
            <v>8126</v>
          </cell>
          <cell r="V593">
            <v>20313</v>
          </cell>
        </row>
        <row r="594">
          <cell r="A594">
            <v>591</v>
          </cell>
          <cell r="B594" t="str">
            <v>010.000.4215.00</v>
          </cell>
          <cell r="E594" t="str">
            <v>Progesterona. Gel Cada 100 g contienen: Progesterona 1.0 g Envase con 80 g de Gel con regla dosificadora.</v>
          </cell>
          <cell r="U594">
            <v>22756</v>
          </cell>
          <cell r="V594">
            <v>56886</v>
          </cell>
        </row>
        <row r="595">
          <cell r="A595">
            <v>592</v>
          </cell>
          <cell r="B595" t="str">
            <v>010.000.4217.00</v>
          </cell>
          <cell r="E595" t="str">
            <v>Progesterona. Cápsula o Perla. Cada cápsula o perla contiene: Progesterona 200 mg Envase con 14 cápsulas o perlas.</v>
          </cell>
          <cell r="U595">
            <v>455</v>
          </cell>
          <cell r="V595">
            <v>1135</v>
          </cell>
        </row>
        <row r="596">
          <cell r="A596">
            <v>593</v>
          </cell>
          <cell r="B596" t="str">
            <v>010.000.4217.01</v>
          </cell>
          <cell r="E596" t="str">
            <v>PROGESTERONA. CÁPSULA O PERLA CADA CÁPSULA O PERLA CONTIENE: PROGESTERONA 200 MG ENVASE CON 15 CÁPSULAS O PERLAS.</v>
          </cell>
          <cell r="U596">
            <v>49250</v>
          </cell>
          <cell r="V596">
            <v>123122</v>
          </cell>
        </row>
        <row r="597">
          <cell r="A597">
            <v>594</v>
          </cell>
          <cell r="B597" t="str">
            <v>010.000.4222.00</v>
          </cell>
          <cell r="E597" t="str">
            <v>Nadroparina. Solución Inyectable Cada jeringa prellenada contiene: Nadroparina cálcica 5700 UI Axa Envase con 2 Jeringas. prellenadas con 0.6 ml.</v>
          </cell>
          <cell r="U597">
            <v>25740</v>
          </cell>
          <cell r="V597">
            <v>64348</v>
          </cell>
        </row>
        <row r="598">
          <cell r="A598">
            <v>595</v>
          </cell>
          <cell r="B598" t="str">
            <v>010.000.4222.01</v>
          </cell>
          <cell r="E598" t="str">
            <v>Nadroparina. Solución Inyectable Cada jeringa prellenada contiene: Nadroparina cálcica 5700 UI Axa Envase con 10 Jeringas. prellenadas con 0.6 ml.</v>
          </cell>
          <cell r="U598">
            <v>30</v>
          </cell>
          <cell r="V598">
            <v>72</v>
          </cell>
        </row>
        <row r="599">
          <cell r="A599">
            <v>596</v>
          </cell>
          <cell r="B599" t="str">
            <v>010.000.4223.00</v>
          </cell>
          <cell r="E599" t="str">
            <v>Nadroparina. Solución Inyectable Cada jeringa prellenada contiene: Nadroparina cálcica 3800 UI Axa Envase con 2 Jeringas. prellenadas con 0.4 ml.</v>
          </cell>
          <cell r="U599">
            <v>32621</v>
          </cell>
          <cell r="V599">
            <v>81550</v>
          </cell>
        </row>
        <row r="600">
          <cell r="A600">
            <v>597</v>
          </cell>
          <cell r="B600" t="str">
            <v>010.000.4223.01</v>
          </cell>
          <cell r="E600" t="str">
            <v>Nadroparina. Solución Inyectable Cada jeringa prellenada contiene: Nadroparina cálcica 3800 UI Axa Envase con 10 Jeringas. prellenadas con 0.4 ml.</v>
          </cell>
          <cell r="U600">
            <v>12</v>
          </cell>
          <cell r="V600">
            <v>26</v>
          </cell>
        </row>
        <row r="601">
          <cell r="A601">
            <v>598</v>
          </cell>
          <cell r="B601" t="str">
            <v>010.000.4224.00</v>
          </cell>
          <cell r="E601" t="str">
            <v>Enoxaparina. Solución Inyectable Cada jeringa contiene Enoxaparina sódica 60 mg Envase con 2 Jeringas. de 0.6 ml</v>
          </cell>
          <cell r="U601">
            <v>549987</v>
          </cell>
          <cell r="V601">
            <v>1374965</v>
          </cell>
        </row>
        <row r="602">
          <cell r="A602">
            <v>599</v>
          </cell>
          <cell r="B602" t="str">
            <v>010.000.4224.01</v>
          </cell>
          <cell r="E602" t="str">
            <v>Enoxaparina. Solución Inyectable Cada jeringa contiene Enoxaparina sódica 60 mg Envase con 2 Jeringas. con dispositivo de seguridad de 0.6 ml.</v>
          </cell>
          <cell r="U602">
            <v>142793</v>
          </cell>
          <cell r="V602">
            <v>356980</v>
          </cell>
        </row>
        <row r="603">
          <cell r="A603">
            <v>600</v>
          </cell>
          <cell r="B603" t="str">
            <v>010.000.4224.04</v>
          </cell>
          <cell r="E603" t="str">
            <v>Enoxaparina. Solución Inyectable Cada jeringa contiene Enoxaparina sódica 60 mg Envase con 30 Jeringas de 0.6 ml.</v>
          </cell>
          <cell r="U603">
            <v>35798</v>
          </cell>
          <cell r="V603">
            <v>89492</v>
          </cell>
        </row>
        <row r="604">
          <cell r="A604">
            <v>601</v>
          </cell>
          <cell r="B604" t="str">
            <v>010.000.4225.00</v>
          </cell>
          <cell r="E604" t="str">
            <v>IMATINIB. COMPRIMIDO RECUBIERTO CADA COMPRIMIDO RECUBIERTO CONTIENE: MESILATO DE IMATINIB 100 MG ENVASE CON 60 COMPRIMIDOS RECUBIERTOS.</v>
          </cell>
          <cell r="U604">
            <v>68332</v>
          </cell>
          <cell r="V604">
            <v>170828</v>
          </cell>
        </row>
        <row r="605">
          <cell r="A605">
            <v>602</v>
          </cell>
          <cell r="B605" t="str">
            <v>010.000.4227.00</v>
          </cell>
          <cell r="E605" t="str">
            <v>IMATINIB. COMPRIMIDO CADA COMPRIMIDO CONTIENE: MESILATO DE IMATINIB EQUIVALENTE A 400 MG DE IMATINIB ENVASE CON 30 COMPRIMIDOS.</v>
          </cell>
          <cell r="U605">
            <v>7448</v>
          </cell>
          <cell r="V605">
            <v>18617</v>
          </cell>
        </row>
        <row r="606">
          <cell r="A606">
            <v>603</v>
          </cell>
          <cell r="B606" t="str">
            <v>010.000.4228.00</v>
          </cell>
          <cell r="E606" t="str">
            <v>DAUNORUBICINA. SOLUCIÓN INYECTABLE CADA FRASCO ÁMPULA CON LIOFILIZADO CONTIENE: CLORHIDRATO DE DAUNORUBICINA EQUIVALENTE A 20 MG DE DAUNORUBICINA. ENVASE CON UN FRASCO ÁMPULA.</v>
          </cell>
          <cell r="U606">
            <v>24187</v>
          </cell>
          <cell r="V606">
            <v>60464</v>
          </cell>
        </row>
        <row r="607">
          <cell r="A607">
            <v>604</v>
          </cell>
          <cell r="B607" t="str">
            <v>010.000.4229.00</v>
          </cell>
          <cell r="E607" t="str">
            <v>L-ASPARAGINASA. SOLUCIÓN INYECTABLE. CADA FRASCO ÁMPULA CON POLVO CONTIENE: L-ASPARAGINASA 10000 UI ENVASE CON 1 FRASCO ÁMPULA.</v>
          </cell>
          <cell r="U607">
            <v>11011</v>
          </cell>
          <cell r="V607">
            <v>27525</v>
          </cell>
        </row>
        <row r="608">
          <cell r="A608">
            <v>605</v>
          </cell>
          <cell r="B608" t="str">
            <v>010.000.4230.00</v>
          </cell>
          <cell r="E608" t="str">
            <v>Etopósido. Solución Inyectable Cada ampolleta o frasco ámpula contiene: Etopósido 100 mg Envase con 10 ampolletas o frascos ámpula de 5 ml.</v>
          </cell>
          <cell r="U608">
            <v>35796</v>
          </cell>
          <cell r="V608">
            <v>89489</v>
          </cell>
        </row>
        <row r="609">
          <cell r="A609">
            <v>606</v>
          </cell>
          <cell r="B609" t="str">
            <v>010.000.4230.01</v>
          </cell>
          <cell r="E609" t="str">
            <v>ETOPÓSIDO. SOLUCIÓN INYECTABLE CADA AMPOLLETA O FRASCO ÁMPULA CONTIENE: ETOPÓSIDO 100 MG ENVASE CON 1 AMPOLLETAS O FRASCOS ÁMPULA DE 5 ML.</v>
          </cell>
          <cell r="U609">
            <v>286</v>
          </cell>
          <cell r="V609">
            <v>711</v>
          </cell>
        </row>
        <row r="610">
          <cell r="A610">
            <v>607</v>
          </cell>
          <cell r="B610" t="str">
            <v>010.000.4233.00</v>
          </cell>
          <cell r="E610" t="str">
            <v>MITOXANTRONA. SOLUCIÓN INYECTABLE CADA FRASCO ÁMPULA CONTIENE: CLORHIDRATO DE MITOXANTRONA EQUIVALENTE A 20 MG DE MITOXANTRONA BASE ENVASE CON UN FRASCO ÁMPULA CON 10 ML.</v>
          </cell>
          <cell r="U610">
            <v>10438</v>
          </cell>
          <cell r="V610">
            <v>26091</v>
          </cell>
        </row>
        <row r="611">
          <cell r="A611">
            <v>608</v>
          </cell>
          <cell r="B611" t="str">
            <v>010.000.4234.00</v>
          </cell>
          <cell r="E611" t="str">
            <v>Inmunoglobulina antilinfocitos t humanos. Solución Inyectable Cada ml contiene: Globulina antilinfocito humano 50 mg Envase con 10 frascos ámpula con 10 ml.</v>
          </cell>
          <cell r="U611">
            <v>680</v>
          </cell>
          <cell r="V611">
            <v>1697</v>
          </cell>
        </row>
        <row r="612">
          <cell r="A612">
            <v>609</v>
          </cell>
          <cell r="B612" t="str">
            <v>010.000.4237.00</v>
          </cell>
          <cell r="E612" t="str">
            <v>Ácido aminocaproico. Solución Inyectable Cada frasco ámpula contiene: Ácido aminocaproico 5 g Envase con un frasco ámpula con 20 ml.</v>
          </cell>
          <cell r="U612">
            <v>4222</v>
          </cell>
          <cell r="V612">
            <v>10554</v>
          </cell>
        </row>
        <row r="613">
          <cell r="A613">
            <v>610</v>
          </cell>
          <cell r="B613" t="str">
            <v>010.000.4238.00</v>
          </cell>
          <cell r="E613" t="str">
            <v>Eptacog alfa (factor de coagulación VII alfa recombinante). Solución inyectable. Cada frasco ámpula con liofilizado contiene: Factor de coagulación VII alfa recombinante 60 000 UI (1.2 mg) ó 1 mg (50 KUI). Envase con un frasco ámpula con liofilizado (1.2 mg) y un frasco ámpula con 2 ml de diluyente y equipo para su administración.</v>
          </cell>
          <cell r="U613">
            <v>14</v>
          </cell>
          <cell r="V613">
            <v>33</v>
          </cell>
        </row>
        <row r="614">
          <cell r="A614">
            <v>611</v>
          </cell>
          <cell r="B614" t="str">
            <v>010.000.4238.02</v>
          </cell>
          <cell r="E614" t="str">
            <v>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v>
          </cell>
          <cell r="U614">
            <v>8464</v>
          </cell>
          <cell r="V614">
            <v>21157</v>
          </cell>
        </row>
        <row r="615">
          <cell r="A615">
            <v>612</v>
          </cell>
          <cell r="B615" t="str">
            <v>010.000.4239.00</v>
          </cell>
          <cell r="E615" t="str">
            <v>Factor antihemofílico humano. Solución Inyectable Cada frasco ámpula con liofilizado contiene: Factor antihemofílico humano 250 UI Envase con un frasco ámpula frasco ámpula con diluyente y equipo para administración.</v>
          </cell>
          <cell r="U615">
            <v>153670</v>
          </cell>
          <cell r="V615">
            <v>384175</v>
          </cell>
        </row>
        <row r="616">
          <cell r="A616">
            <v>613</v>
          </cell>
          <cell r="B616" t="str">
            <v>010.000.4241.00</v>
          </cell>
          <cell r="E616" t="str">
            <v>Dexametasona. Solución Inyectable. Cada frasco ámpula o ampolleta contiene: Fosfato sódico de dexametasona equivalente a 8 mg de fosfato de dexametasona. Envase con un frasco ámpula o ampolleta con 2 ml.</v>
          </cell>
          <cell r="U616">
            <v>9234021</v>
          </cell>
          <cell r="V616">
            <v>23085050</v>
          </cell>
        </row>
        <row r="617">
          <cell r="A617">
            <v>614</v>
          </cell>
          <cell r="B617" t="str">
            <v>010.000.4242.00</v>
          </cell>
          <cell r="E617" t="str">
            <v>Enoxaparina. Solución Inyectable Cada jeringa contiene: Enoxaparina sódica 20 mg Envase con 2 Jeringas. de 0.2 ml.</v>
          </cell>
          <cell r="U617">
            <v>251898</v>
          </cell>
          <cell r="V617">
            <v>629743</v>
          </cell>
        </row>
        <row r="618">
          <cell r="A618">
            <v>615</v>
          </cell>
          <cell r="B618" t="str">
            <v>010.000.4242.01</v>
          </cell>
          <cell r="E618" t="str">
            <v>Enoxaparina. Solución inyectable Cada jeringa contiene: Enoxaparina sódica 20 mg Envase con 2 Jeringas. con dispositivo de seguridad de 0.2 ml.</v>
          </cell>
          <cell r="U618">
            <v>560</v>
          </cell>
          <cell r="V618">
            <v>1400</v>
          </cell>
        </row>
        <row r="619">
          <cell r="A619">
            <v>616</v>
          </cell>
          <cell r="B619" t="str">
            <v>010.000.4242.02</v>
          </cell>
          <cell r="E619" t="str">
            <v>ENOXAPARINA SOLUCIÓN INYECTABLE CADA JERINGA CONTIENE: ENOXAPARINA SÓDICA 20 MG. ENVASE CON 10 JERINGAS. DE 0.2 ML</v>
          </cell>
          <cell r="U619">
            <v>9067</v>
          </cell>
          <cell r="V619">
            <v>22666</v>
          </cell>
        </row>
        <row r="620">
          <cell r="A620">
            <v>617</v>
          </cell>
          <cell r="B620" t="str">
            <v>010.000.4244.01</v>
          </cell>
          <cell r="E620" t="str">
            <v>FLUVASTATINA. CAPSULA CADA CAPSULA CONTIENE: FLUVASTATINA SODICA EQUIVALENTE A20 MG DE FLUVASTATINA. ENVASE CON 28 CAPSULAS.</v>
          </cell>
          <cell r="U620">
            <v>13029</v>
          </cell>
          <cell r="V620">
            <v>32571</v>
          </cell>
        </row>
        <row r="621">
          <cell r="A621">
            <v>618</v>
          </cell>
          <cell r="B621" t="str">
            <v>010.000.4246.00</v>
          </cell>
          <cell r="E621" t="str">
            <v>CLOPIDOGREL. GRAGEA O TABLETA. CADA GRAGEA O TABLETA CONTIENE: BISULFATO DE CLOPIDOGREL O BISULFATO DE CLOPIDOGREL (POLIMORFO FORMA 2) EQUIVALENTE A 75 MG DE CLOPIDOGREL. ENVASE CON 14 GRAGEAS O TABLETAS.</v>
          </cell>
          <cell r="U621">
            <v>5886</v>
          </cell>
          <cell r="V621">
            <v>14713</v>
          </cell>
        </row>
        <row r="622">
          <cell r="A622">
            <v>619</v>
          </cell>
          <cell r="B622" t="str">
            <v>010.000.4246.01</v>
          </cell>
          <cell r="E622" t="str">
            <v>Clopidogrel. Gragea o tableta. Cada gragea o tableta contiene: Bisulfato de clopidogrel o Bisulfato de clopidogrel (Polimorfo forma 2) equivalente a 75 mg de clopidogrel. Envase con 28 Grageas o Tabletas</v>
          </cell>
          <cell r="U622">
            <v>1961567</v>
          </cell>
          <cell r="V622">
            <v>4903916</v>
          </cell>
        </row>
        <row r="623">
          <cell r="A623">
            <v>620</v>
          </cell>
          <cell r="B623" t="str">
            <v>010.000.4247.00</v>
          </cell>
          <cell r="E623" t="str">
            <v>Abciximab. Solución inyectable Cada frasco ámpula contiene: Abciximab 10 mg Envase con un frasco ámpula (10 mg/5ml).</v>
          </cell>
          <cell r="U623">
            <v>726</v>
          </cell>
          <cell r="V623">
            <v>1813</v>
          </cell>
        </row>
        <row r="624">
          <cell r="A624">
            <v>621</v>
          </cell>
          <cell r="B624" t="str">
            <v>010.000.4249.00</v>
          </cell>
          <cell r="E624" t="str">
            <v>Levofloxacino. Solución Inyectable Cada envase contiene: Levofloxacino hemihidratado equivalente a 500 mg de levofloxacino. Envase con 100 ml.</v>
          </cell>
          <cell r="U624">
            <v>1641631</v>
          </cell>
          <cell r="V624">
            <v>4104077</v>
          </cell>
        </row>
        <row r="625">
          <cell r="A625">
            <v>622</v>
          </cell>
          <cell r="B625" t="str">
            <v>010.000.4251.00</v>
          </cell>
          <cell r="E625" t="str">
            <v>Vancomicina. Solución Inyectable Cada frasco ámpula con polvo contiene: Clorhidrato de vancomicina equivalente a 500 mg de vancomicina. Envase con un frasco ámpula.</v>
          </cell>
          <cell r="U625">
            <v>2485335</v>
          </cell>
          <cell r="V625">
            <v>6213337</v>
          </cell>
        </row>
        <row r="626">
          <cell r="A626">
            <v>623</v>
          </cell>
          <cell r="B626" t="str">
            <v>010.000.4252.00</v>
          </cell>
          <cell r="E626" t="str">
            <v>Moxifloxacino. Tableta Cada Tableta contiene: Clorhidrato de moxifloxacino equivalente a 400 mg de moxifloxacino. Envase con 7 Tabletas.</v>
          </cell>
          <cell r="U626">
            <v>111283</v>
          </cell>
          <cell r="V626">
            <v>278207</v>
          </cell>
        </row>
        <row r="627">
          <cell r="A627">
            <v>624</v>
          </cell>
          <cell r="B627" t="str">
            <v>010.000.4253.00</v>
          </cell>
          <cell r="E627" t="str">
            <v>Moxifloxacino. Solución Inyectable Cada 100 ml contienen: Clorhidrato de moxifloxacino equivalente a 160 mg de moxifloxacino. Envase con bolsa flexible o frasco ámpula con 250 ml (400 mg).</v>
          </cell>
          <cell r="U627">
            <v>88151</v>
          </cell>
          <cell r="V627">
            <v>220374</v>
          </cell>
        </row>
        <row r="628">
          <cell r="A628">
            <v>625</v>
          </cell>
          <cell r="B628" t="str">
            <v>010.000.4254.00</v>
          </cell>
          <cell r="E628" t="str">
            <v>Ceftazidima. Solución Inyectable. Cada frasco ámpula con polvo contiene: Ceftazidima pentahidratada equivalente a 1 g de ceftazidima. Envase con un frasco ámpula y 3 ml de diluyente.</v>
          </cell>
          <cell r="U628">
            <v>1391070</v>
          </cell>
          <cell r="V628">
            <v>3477674</v>
          </cell>
        </row>
        <row r="629">
          <cell r="A629">
            <v>626</v>
          </cell>
          <cell r="B629" t="str">
            <v>010.000.4255.00</v>
          </cell>
          <cell r="E629" t="str">
            <v>Ciprofloxacino. Cápsula o Tableta Cada Cápsula o Tableta contiene: Clorhidrato de ciprofloxacino monohidratado equivalente a 250 mg de ciprofloxacino. Envase con 8 Cápsulas o Tabletas.</v>
          </cell>
          <cell r="U629">
            <v>10745651</v>
          </cell>
          <cell r="V629">
            <v>26864126</v>
          </cell>
        </row>
        <row r="630">
          <cell r="A630">
            <v>627</v>
          </cell>
          <cell r="B630" t="str">
            <v>010.000.4256.00</v>
          </cell>
          <cell r="E630" t="str">
            <v>TALIDOMIDA. TABLETA O CÁPSULA CADA TABLETA O CÁPSULA CONTIENE: TALIDOMIDA 100 MG ENVASE CON 50 TABLETAS Ó CÁPSULAS.</v>
          </cell>
          <cell r="U630">
            <v>77182</v>
          </cell>
          <cell r="V630">
            <v>192953</v>
          </cell>
        </row>
        <row r="631">
          <cell r="A631">
            <v>628</v>
          </cell>
          <cell r="B631" t="str">
            <v>010.000.4259.00</v>
          </cell>
          <cell r="E631" t="str">
            <v>Ciprofloxacino. Solución Inyectable Cada 100 ml contiene: Lactato o clorhidrato de ciprofloxacino equivalente a 200 mg de ciprofloxacino. Envase con 100 ml.</v>
          </cell>
          <cell r="U631">
            <v>2747298</v>
          </cell>
          <cell r="V631">
            <v>6868243</v>
          </cell>
        </row>
        <row r="632">
          <cell r="A632">
            <v>629</v>
          </cell>
          <cell r="B632" t="str">
            <v>010.000.4260.00</v>
          </cell>
          <cell r="E632" t="str">
            <v>Nistatina. Suspensión Oral Cada frasco con polvo contiene: Nistatina 2 400 000 UI Envase para 24 ml.</v>
          </cell>
          <cell r="U632">
            <v>427732</v>
          </cell>
          <cell r="V632">
            <v>1069328</v>
          </cell>
        </row>
        <row r="633">
          <cell r="A633">
            <v>630</v>
          </cell>
          <cell r="B633" t="str">
            <v>010.000.4261.01</v>
          </cell>
          <cell r="E633" t="str">
            <v>Ofloxacina. Tableta Cada Tableta contiene: ofloxacina 400 mg Envase con 8 Tabletas</v>
          </cell>
          <cell r="U633">
            <v>1636</v>
          </cell>
          <cell r="V633">
            <v>4088</v>
          </cell>
        </row>
        <row r="634">
          <cell r="A634">
            <v>631</v>
          </cell>
          <cell r="B634" t="str">
            <v>010.000.4263.00</v>
          </cell>
          <cell r="E634" t="str">
            <v>Aciclovir. Comprimido o Tableta Cada Comprimido o Tableta contiene: Aciclovir 200 mg Envase con 25 Comprimidos o Tabletas.</v>
          </cell>
          <cell r="U634">
            <v>629404</v>
          </cell>
          <cell r="V634">
            <v>1573508</v>
          </cell>
        </row>
        <row r="635">
          <cell r="A635">
            <v>632</v>
          </cell>
          <cell r="B635" t="str">
            <v>010.000.4264.00</v>
          </cell>
          <cell r="E635" t="str">
            <v>Aciclovir. Solución Inyectable Cada frasco ámpula con liofilizado contiene: Aciclovir sódico equivalente a 250 mg de aciclovir. Envase con 5 frascos ámpula.</v>
          </cell>
          <cell r="U635">
            <v>88099</v>
          </cell>
          <cell r="V635">
            <v>220246</v>
          </cell>
        </row>
        <row r="636">
          <cell r="A636">
            <v>633</v>
          </cell>
          <cell r="B636" t="str">
            <v>010.000.4268.00</v>
          </cell>
          <cell r="E636" t="str">
            <v>Lamivudina/zidovudina. Tableta Cada Tableta contiene: Lamivudina 150 mg Zidovudina 300 mg Envase con 60 Tabletas.</v>
          </cell>
          <cell r="U636">
            <v>6137</v>
          </cell>
          <cell r="V636">
            <v>15340</v>
          </cell>
        </row>
        <row r="637">
          <cell r="A637">
            <v>634</v>
          </cell>
          <cell r="B637" t="str">
            <v>010.000.4269.01</v>
          </cell>
          <cell r="E637" t="str">
            <v>Enfuvirtida. Solución Inyectable Cada frasco ámpula con liofilizado contiene: Enfuvirtida 108 mg Envase con 60 Jeringas. de 3 ml 60 Jeringas. de 1 ml y 180 toallitas humedecidas con alcohol.</v>
          </cell>
          <cell r="U637">
            <v>258</v>
          </cell>
          <cell r="V637">
            <v>643</v>
          </cell>
        </row>
        <row r="638">
          <cell r="A638">
            <v>635</v>
          </cell>
          <cell r="B638" t="str">
            <v>010.000.4271.00</v>
          </cell>
          <cell r="E638" t="str">
            <v>Lamivudina. Solución Cada 100 ml contienen: Lamivudina 1 g Envase con 240 ml y dosificador.</v>
          </cell>
          <cell r="U638">
            <v>16988</v>
          </cell>
          <cell r="V638">
            <v>42468</v>
          </cell>
        </row>
        <row r="639">
          <cell r="A639">
            <v>636</v>
          </cell>
          <cell r="B639" t="str">
            <v>010.000.4272.00</v>
          </cell>
          <cell r="E639" t="str">
            <v>Abacavir. Solución o jarabe. Cada 100 ml contienen: Sulfato de abacavir equivalente a 2 g de abacavir. Envase con un frasco de 240 ml y pipeta dosificadora o jeringa dosificadora.</v>
          </cell>
          <cell r="U639">
            <v>8594</v>
          </cell>
          <cell r="V639">
            <v>21482</v>
          </cell>
        </row>
        <row r="640">
          <cell r="A640">
            <v>637</v>
          </cell>
          <cell r="B640" t="str">
            <v>010.000.4273.00</v>
          </cell>
          <cell r="E640" t="str">
            <v>Abacavir. Tableta. Cada tableta contiene: Sulfato de abacavir equivalente a 300 mg de abacavir. Envase con 60 tabletas.</v>
          </cell>
          <cell r="U640">
            <v>1362</v>
          </cell>
          <cell r="V640">
            <v>3403</v>
          </cell>
        </row>
        <row r="641">
          <cell r="A641">
            <v>638</v>
          </cell>
          <cell r="B641" t="str">
            <v>010.000.4276.00</v>
          </cell>
          <cell r="E641" t="str">
            <v>EMTRICITABINA CAPSULA CADA CAPSULA CONTIENE: EMTRICITABINA 200 MG ENVASE CON 30CAPSULAS.</v>
          </cell>
          <cell r="U641">
            <v>105</v>
          </cell>
          <cell r="V641">
            <v>261</v>
          </cell>
        </row>
        <row r="642">
          <cell r="A642">
            <v>639</v>
          </cell>
          <cell r="B642" t="str">
            <v>010.000.4277.00</v>
          </cell>
          <cell r="E642" t="str">
            <v>TENOFOVIR TABLETA Cada tableta contiene: Tenofovir disoproxil fumarato 300 mg. Envase con 30 tabletas.</v>
          </cell>
          <cell r="U642">
            <v>12693</v>
          </cell>
          <cell r="V642">
            <v>31731</v>
          </cell>
        </row>
        <row r="643">
          <cell r="A643">
            <v>640</v>
          </cell>
          <cell r="B643" t="str">
            <v>010.000.4280.01</v>
          </cell>
          <cell r="E643" t="str">
            <v>GENTAMICINA-COLÁGENO. IMPLANTE CADA IMPLANTE CONTIENE: SULFATO DE GENTAMICINA EQUIVALENTE A 1.3 MG DE GENTAMICINA. COLÁGENO DE TENDÓN BOVINO 2.8 MG ENVASE CON 5 IMPLANTES DE 5 CM X 5 CM X 0.5 CM</v>
          </cell>
          <cell r="U643">
            <v>328</v>
          </cell>
          <cell r="V643">
            <v>819</v>
          </cell>
        </row>
        <row r="644">
          <cell r="A644">
            <v>641</v>
          </cell>
          <cell r="B644" t="str">
            <v>010.000.4281.01</v>
          </cell>
          <cell r="E644" t="str">
            <v>GENTAMICINA-COLÁGENO. CADA IMPLANTE CONTIENE: SULFATO DE GENTAMICINA EQUIVALENTE A 1.3 MG DE GENTAMICINA. COLÁGENO DE TENDÓN BOVINO 2.8 MG ENVASE CON 5 IMPLANTES DE 10 CM X 10 CM X 0.5 CM</v>
          </cell>
          <cell r="U644">
            <v>866</v>
          </cell>
          <cell r="V644">
            <v>2164</v>
          </cell>
        </row>
        <row r="645">
          <cell r="A645">
            <v>642</v>
          </cell>
          <cell r="B645" t="str">
            <v>010.000.4282.00</v>
          </cell>
          <cell r="E645" t="str">
            <v>Concentrado de proteínas humanas coagulables. Solución. Cada frasco ámpula 1 contiene: Liofilizado total de fibrinógeno Concentrado 57.5-116 mg Fibrinógeno (frAcción de proteína de Plasma humano) 32.5-57.5 mg Factor XIII 20-40 U Cada frasco ámpula 2 contiene: Aprotinina de pulmón bovino 500 KIU Correspondiente a 0.28 PEU en 0.5 ml Cada frasco ámpula 3 contiene: Trombina sustancia seca total 2.45-5.55 mg FrAcción de proteína de plasma humano con actividad de trombina 200-300 UI Cada frasco ámpula 4 contiene: Cloruro de calcio dehidratado 14.7 mg en 2.5 ml. Envase con los frascos ámpula 1 y 2 y los frascos ámpula 3 y 4 unidos a través de un dispositivo de transferencia.</v>
          </cell>
          <cell r="U645">
            <v>718</v>
          </cell>
          <cell r="V645">
            <v>1793</v>
          </cell>
        </row>
        <row r="646">
          <cell r="A646">
            <v>643</v>
          </cell>
          <cell r="B646" t="str">
            <v>010.000.4285.00</v>
          </cell>
          <cell r="E646" t="str">
            <v>CONCENTRADO DE PROTEÍNAS HUMANAS COAGULABLES. SOLUCIÓN. CADA ML DE SOLUCIÓN RECONSTITUIDA CONTIENE: FIBRINÓGENO 70-110 MG PLASMAFIBRONECTINA 2- 9 MG FACTOR XIII 10-50 UI PLASMINÓGENO 0-120 µG APROTININA 3000 UIK TROMBINA 4 UI Ó TROMBINA 500 UI CLORURO DE CALCIO 40 µMOL ENVASE CON UN FRASCO ÁMPULA DE 5.0 ML CON LIOFILIZADO DE FIBRINÓGENO CON 350-550 MG PLASMAFIBRONECTINA CON 10-45 MG FACTOR XIII CON 50-250 UI Y PLASMINÓGENO CON 0-600 µG; UN FRASCO ÁMPULA DE APROTININA 15000 UIK EN 5 ML; UN FRASCO ÁMPULA CON LIOFILIZADO DE TROMBINA DE 20 UI; UN FRASCO ÁMPULA CON LIOFILIZADO DE TROMBINA DE 2500 UI; UN FRASCO ÁMPULA CON CLORURO DE CALCIO CON 200 µMOL EN 5 ML Y ENVASE CON DOS JERINGAS. ENSAMBLADAS Y ACCESORIOS PARA RECONSTITUCIÓN Y APLICACIÓN.</v>
          </cell>
          <cell r="U646">
            <v>80</v>
          </cell>
          <cell r="V646">
            <v>200</v>
          </cell>
        </row>
        <row r="647">
          <cell r="A647">
            <v>644</v>
          </cell>
          <cell r="B647" t="str">
            <v>010.000.4288.00</v>
          </cell>
          <cell r="E647" t="str">
            <v>Concentrado de proteínas humanas coagulables. Solución. Cada frasco ámpula 1 contiene: Liofilizado total de fibrinógeno Concentrado 345-698 mg Fibrinógeno (frAcción de proteína de Plasma humano) 195-345 mg Factor XIII 120-240 U Cada frasco ámpula 2 contiene: Aprotinina de pulmón bovino 3000 KIU correspondiente a 1.67 PEU En 3.0 ml Cada frasco ámpula 3 contiene: Trombina sustancia seca total 14.7-33.3 mg FrAcción de proteína de plasma humano Con actividad de trombina 1200-1800 UI Cada frasco ámpula 4 contiene: Cloruro de calcio dehidratado 44.1 mg en 7.5 ml. Envase con los frascos ámpula 1 y 2 y los frascos ámpula 3 y 4 unidos a través de un dispositivo de transferencia</v>
          </cell>
          <cell r="U647">
            <v>2404</v>
          </cell>
          <cell r="V647">
            <v>6009</v>
          </cell>
        </row>
        <row r="648">
          <cell r="A648">
            <v>645</v>
          </cell>
          <cell r="B648" t="str">
            <v>010.000.4289.01</v>
          </cell>
          <cell r="E648" t="str">
            <v>Darunavir. Tableta Cada Tableta contiene: Etanolato de darunavir equivalente a 600 mg de darunavir Envase con 60 Tabletas.</v>
          </cell>
          <cell r="U648">
            <v>24789</v>
          </cell>
          <cell r="V648">
            <v>61971</v>
          </cell>
        </row>
        <row r="649">
          <cell r="A649">
            <v>646</v>
          </cell>
          <cell r="B649" t="str">
            <v>010.000.4290.00</v>
          </cell>
          <cell r="E649" t="str">
            <v>Linezolid. Tableta. Cada tableta contiene: Linezolid 600 mg. Envase con 10 tabletas.</v>
          </cell>
          <cell r="U649">
            <v>69718</v>
          </cell>
          <cell r="V649">
            <v>174292</v>
          </cell>
        </row>
        <row r="650">
          <cell r="A650">
            <v>647</v>
          </cell>
          <cell r="B650" t="str">
            <v>010.000.4291.00</v>
          </cell>
          <cell r="E650" t="str">
            <v>Linezolid. Solución Inyectable. Cada 100 ml contienen: Linezolid 200 mg. Envase con bolsa con 300 ml.</v>
          </cell>
          <cell r="U650">
            <v>286308</v>
          </cell>
          <cell r="V650">
            <v>715767</v>
          </cell>
        </row>
        <row r="651">
          <cell r="A651">
            <v>648</v>
          </cell>
          <cell r="B651" t="str">
            <v>010.000.4294.00</v>
          </cell>
          <cell r="E651" t="str">
            <v>CICLOSPORINA. EMULSIÓN ORAL CADA ML CONTIENE: CICLOSPORINA MODIFICADA O CICLOSPORINA EN MICROEMULSIÓN 100 MG. ENVASE CON 50 ML Y PIPETA DOSIFICADORA.</v>
          </cell>
          <cell r="U651">
            <v>58134</v>
          </cell>
          <cell r="V651">
            <v>145334</v>
          </cell>
        </row>
        <row r="652">
          <cell r="A652">
            <v>649</v>
          </cell>
          <cell r="B652" t="str">
            <v>010.000.4298.00</v>
          </cell>
          <cell r="E652" t="str">
            <v>Ciclosporina. Cápsula de gelatina blanda. Cada cápsula contiene: Ciclosporina modificada o ciclosporina en microemulsión 100 mg Envase con 50 Cápsulas.</v>
          </cell>
          <cell r="U652">
            <v>40731</v>
          </cell>
          <cell r="V652">
            <v>101824</v>
          </cell>
        </row>
        <row r="653">
          <cell r="A653">
            <v>650</v>
          </cell>
          <cell r="B653" t="str">
            <v>010.000.4299.00</v>
          </cell>
          <cell r="E653" t="str">
            <v>LEVOFLOXACINO TABLETA CADA TABLETA CONTIENE: LEVOFLOXACINO HEMIHIDRATADOEQUIVALENTE A 500 MG DE LEVOFLOXACINO. ENVASE CON 7 TABLETAS.</v>
          </cell>
          <cell r="U653">
            <v>840688</v>
          </cell>
          <cell r="V653">
            <v>2101719</v>
          </cell>
        </row>
        <row r="654">
          <cell r="A654">
            <v>651</v>
          </cell>
          <cell r="B654" t="str">
            <v>010.000.4300.00</v>
          </cell>
          <cell r="E654" t="str">
            <v>Levofloxacino. Tableta Cada Tableta contiene: Levofloxacino hemihidratado equivalente a 750 mg de levofloxacino. Envase con 7 Tabletas.</v>
          </cell>
          <cell r="U654">
            <v>791576</v>
          </cell>
          <cell r="V654">
            <v>1978938</v>
          </cell>
        </row>
        <row r="655">
          <cell r="A655">
            <v>652</v>
          </cell>
          <cell r="B655" t="str">
            <v>010.000.4301.00</v>
          </cell>
          <cell r="E655" t="str">
            <v>Ertapenem. Solución Inyectable Cada frasco ámpula con liofilizado contiene: Ertapenem sódico equivalente a 1 g de ertapenem Envase con un frasco ámpula con liofilizado.</v>
          </cell>
          <cell r="U655">
            <v>421717</v>
          </cell>
          <cell r="V655">
            <v>1054291</v>
          </cell>
        </row>
        <row r="656">
          <cell r="A656">
            <v>653</v>
          </cell>
          <cell r="B656" t="str">
            <v>010.000.4302.00</v>
          </cell>
          <cell r="E656" t="str">
            <v>Finasterida. Gragea o Tableta Recubierta. Cada gragea o tableta recubierta contiene: Finasterida 5 mg Envase con 30 Grageas o Tabletas recubiertas.</v>
          </cell>
          <cell r="U656">
            <v>1681651</v>
          </cell>
          <cell r="V656">
            <v>4204125</v>
          </cell>
        </row>
        <row r="657">
          <cell r="A657">
            <v>654</v>
          </cell>
          <cell r="B657" t="str">
            <v>010.000.4304.00</v>
          </cell>
          <cell r="E657" t="str">
            <v>Tolterodina. Tableta Cada Tableta contiene: L tartrato de tolterodina 2 mg Envase con 14 Tabletas.</v>
          </cell>
          <cell r="U657">
            <v>24049</v>
          </cell>
          <cell r="V657">
            <v>60120</v>
          </cell>
        </row>
        <row r="658">
          <cell r="A658">
            <v>655</v>
          </cell>
          <cell r="B658" t="str">
            <v>010.000.4304.01</v>
          </cell>
          <cell r="E658" t="str">
            <v>Tolterodina. Tableta Cada Tableta contiene: L tartrato de tolterodina 2 mg Envase con 28 Tabletas.</v>
          </cell>
          <cell r="U658">
            <v>872220</v>
          </cell>
          <cell r="V658">
            <v>2180547</v>
          </cell>
        </row>
        <row r="659">
          <cell r="A659">
            <v>656</v>
          </cell>
          <cell r="B659" t="str">
            <v>010.000.4305.00</v>
          </cell>
          <cell r="E659" t="str">
            <v>Oxibutinina. Tableta Cada Tableta contiene: Cloruro de oxibutinina 5 mg Envase con 30 Tabletas.</v>
          </cell>
          <cell r="U659">
            <v>147107</v>
          </cell>
          <cell r="V659">
            <v>367764</v>
          </cell>
        </row>
        <row r="660">
          <cell r="A660">
            <v>657</v>
          </cell>
          <cell r="B660" t="str">
            <v>010.000.4305.01</v>
          </cell>
          <cell r="E660" t="str">
            <v>Oxibutinina. Tableta Cada Tableta contiene: Cloruro de oxibutinina 5 mg Envase con 50 Tabletas.</v>
          </cell>
          <cell r="U660">
            <v>215</v>
          </cell>
          <cell r="V660">
            <v>535</v>
          </cell>
        </row>
        <row r="661">
          <cell r="A661">
            <v>658</v>
          </cell>
          <cell r="B661" t="str">
            <v>010.000.4306.00</v>
          </cell>
          <cell r="E661" t="str">
            <v>CICLOSPORINA. CAPSULA DE GELATINA BLANDA. CADA CÁPSULA CONTIENE: CICLOSPORINA MODIFICADA O CICLOSPORINA EN MICROEMULSIÓN 25 MG. ENVASE CON 50 CÁPSULAS.</v>
          </cell>
          <cell r="U661">
            <v>35988</v>
          </cell>
          <cell r="V661">
            <v>89970</v>
          </cell>
        </row>
        <row r="662">
          <cell r="A662">
            <v>659</v>
          </cell>
          <cell r="B662" t="str">
            <v>010.000.4307.00</v>
          </cell>
          <cell r="E662" t="str">
            <v>Cilostazol. Tableta Cada Tableta contiene: Cilostazol 100 mg Envase con 30 Tabletas.</v>
          </cell>
          <cell r="U662">
            <v>228312</v>
          </cell>
          <cell r="V662">
            <v>570778</v>
          </cell>
        </row>
        <row r="663">
          <cell r="A663">
            <v>660</v>
          </cell>
          <cell r="B663" t="str">
            <v>010.000.4308.00</v>
          </cell>
          <cell r="E663" t="str">
            <v>SILDENAFIL. TABLETA CADA TABLETA CONTIENE: CITRATO DE SILDENAFIL EQUIVALENTE A SILDENAFIL 50 MG ENVASE CON 1 TABLETA.</v>
          </cell>
          <cell r="U663">
            <v>206</v>
          </cell>
          <cell r="V663">
            <v>513</v>
          </cell>
        </row>
        <row r="664">
          <cell r="A664">
            <v>661</v>
          </cell>
          <cell r="B664" t="str">
            <v>010.000.4308.01</v>
          </cell>
          <cell r="E664" t="str">
            <v>Sildenafil. Tableta Cada Tableta contiene: Citrato de sildenafil equivalente a Sildenafil 50 mg Envase con 4 Tabletas.</v>
          </cell>
          <cell r="U664">
            <v>708511</v>
          </cell>
          <cell r="V664">
            <v>1771275</v>
          </cell>
        </row>
        <row r="665">
          <cell r="A665">
            <v>662</v>
          </cell>
          <cell r="B665" t="str">
            <v>010.000.4308.02</v>
          </cell>
          <cell r="E665" t="str">
            <v>SILDENAFIL. CADA LAMINILLA CONTIENE: CITRATO DE SILDENAFIL EQUIVALENTE A SILDENAFIL 50 MG. ENVASE CON 1 LAMINILLA.</v>
          </cell>
          <cell r="U665">
            <v>15</v>
          </cell>
          <cell r="V665">
            <v>35</v>
          </cell>
        </row>
        <row r="666">
          <cell r="A666">
            <v>663</v>
          </cell>
          <cell r="B666" t="str">
            <v>010.000.4309.00</v>
          </cell>
          <cell r="E666" t="str">
            <v>SILDENAFIL. TABLETA CADA TABLETA CONTIENE: CITRATO DE SILDENAFIL EQUIVALENTE A SILDENAFIL 100 MG ENVASE CON 1 TABLETA.</v>
          </cell>
          <cell r="U666">
            <v>9</v>
          </cell>
          <cell r="V666">
            <v>20</v>
          </cell>
        </row>
        <row r="667">
          <cell r="A667">
            <v>664</v>
          </cell>
          <cell r="B667" t="str">
            <v>010.000.4309.01</v>
          </cell>
          <cell r="E667" t="str">
            <v>SILDENAFIL. TABLETA CADA TABLETA CONTIENE: CITRATO DE SILDENAFIL EQUIVALENTE A SILDENAFIL 100 MG ENVASE CON 4 TABLETAS.</v>
          </cell>
          <cell r="U667">
            <v>280098</v>
          </cell>
          <cell r="V667">
            <v>700243</v>
          </cell>
        </row>
        <row r="668">
          <cell r="A668">
            <v>665</v>
          </cell>
          <cell r="B668" t="str">
            <v>010.000.4312.01</v>
          </cell>
          <cell r="E668" t="str">
            <v>TADALAFIL. TABLETA CADA TABLETA CONTIENE: TADALAFIL 20 MG ENVASE CON 4 TABLETAS.</v>
          </cell>
          <cell r="U668">
            <v>1344</v>
          </cell>
          <cell r="V668">
            <v>3357</v>
          </cell>
        </row>
        <row r="669">
          <cell r="A669">
            <v>666</v>
          </cell>
          <cell r="B669" t="str">
            <v>010.000.4312.02</v>
          </cell>
          <cell r="E669" t="str">
            <v>TADALAFIL. TABLETA CADA TABLETA CONTIENE: TADALAFIL 20 MG ENVASE CON 28 TABLETAS.</v>
          </cell>
          <cell r="U669">
            <v>1111</v>
          </cell>
          <cell r="V669">
            <v>2776</v>
          </cell>
        </row>
        <row r="670">
          <cell r="A670">
            <v>667</v>
          </cell>
          <cell r="B670" t="str">
            <v>010.000.4312.03</v>
          </cell>
          <cell r="E670" t="str">
            <v>TADALAFIL. TABLETA CADA TABLETA CONTIENE: TADALAFIL 20 MG ENVASE CON 56 TABLETAS.</v>
          </cell>
          <cell r="U670">
            <v>266</v>
          </cell>
          <cell r="V670">
            <v>663</v>
          </cell>
        </row>
        <row r="671">
          <cell r="A671">
            <v>668</v>
          </cell>
          <cell r="B671" t="str">
            <v>010.000.4321.01</v>
          </cell>
          <cell r="E671" t="str">
            <v>Palivizumab. Solución Inyectable Cada frasco ámpula con liofilizado o solución contiene: Palivizumab 100 mg. Envase con un frasco ámpula con 1.0 ml (100 mg/1 ml).</v>
          </cell>
          <cell r="U671">
            <v>16348</v>
          </cell>
          <cell r="V671">
            <v>40867</v>
          </cell>
        </row>
        <row r="672">
          <cell r="A672">
            <v>669</v>
          </cell>
          <cell r="B672" t="str">
            <v>010.000.4323.00</v>
          </cell>
          <cell r="E672" t="str">
            <v>DASATINIB. TABLETA CADA TABLETA CONTIENE: DASATINIB 50 MG ENVASE CON 60 TABLETAS</v>
          </cell>
          <cell r="U672">
            <v>9634</v>
          </cell>
          <cell r="V672">
            <v>24084</v>
          </cell>
        </row>
        <row r="673">
          <cell r="A673">
            <v>670</v>
          </cell>
          <cell r="B673" t="str">
            <v>010.000.4329.00</v>
          </cell>
          <cell r="E673" t="str">
            <v>MONTELUKAST. COMPRIMIDO MASTICABLE CADA COMPRIMIDO CONTIENE: MONTELUKAST SÓDICO EQUIVALENTE A 5 MG DE MONTELUKAST. ENVASE CON 30 COMPRIMIDOS.</v>
          </cell>
          <cell r="U673">
            <v>533289</v>
          </cell>
          <cell r="V673">
            <v>1333221</v>
          </cell>
        </row>
        <row r="674">
          <cell r="A674">
            <v>671</v>
          </cell>
          <cell r="B674" t="str">
            <v>010.000.4330.00</v>
          </cell>
          <cell r="E674" t="str">
            <v>Montelukast. Comprimido Recubierto Cada comprimido contiene: Montelukast sódico equivalente a 10 mg de montelukast. Envase con 30 comprimidos.</v>
          </cell>
          <cell r="U674">
            <v>1594501</v>
          </cell>
          <cell r="V674">
            <v>3986250</v>
          </cell>
        </row>
        <row r="675">
          <cell r="A675">
            <v>672</v>
          </cell>
          <cell r="B675" t="str">
            <v>010.000.4331.00</v>
          </cell>
          <cell r="E675" t="str">
            <v>ZAFIRLUKAST. TABLETA CADA TABLETA CONTIENE: ZAFIRLUKAST 20 MG. ENVASE CON 28 TABLETAS.</v>
          </cell>
          <cell r="U675">
            <v>5176</v>
          </cell>
          <cell r="V675">
            <v>12937</v>
          </cell>
        </row>
        <row r="676">
          <cell r="A676">
            <v>673</v>
          </cell>
          <cell r="B676" t="str">
            <v>010.000.4331.01</v>
          </cell>
          <cell r="E676" t="str">
            <v>Zafirlukast. Tableta  Cada tableta contiene: Zafirlukast 20 mg. Envase con 30 tabletas.</v>
          </cell>
          <cell r="U676">
            <v>20016</v>
          </cell>
          <cell r="V676">
            <v>50039</v>
          </cell>
        </row>
        <row r="677">
          <cell r="A677">
            <v>674</v>
          </cell>
          <cell r="B677" t="str">
            <v>010.000.4332.00</v>
          </cell>
          <cell r="E677" t="str">
            <v>Budesonida. Suspensión. Para nebulizar. Cada envase contiene: Budesonida (micronizada) 0.250 mg. Envase con 5 envases con 2 ml.</v>
          </cell>
          <cell r="U677">
            <v>130025</v>
          </cell>
          <cell r="V677">
            <v>325061</v>
          </cell>
        </row>
        <row r="678">
          <cell r="A678">
            <v>675</v>
          </cell>
          <cell r="B678" t="str">
            <v>010.000.4332.01</v>
          </cell>
          <cell r="E678" t="str">
            <v>Budesonida. Suspensión. Para nebulizar. Cada envase contiene: Budesonida (micronizada) 0.250 mg. Envase con 20 envases con 2 ml.</v>
          </cell>
          <cell r="U678">
            <v>263544</v>
          </cell>
          <cell r="V678">
            <v>658858</v>
          </cell>
        </row>
        <row r="679">
          <cell r="A679">
            <v>676</v>
          </cell>
          <cell r="B679" t="str">
            <v>010.000.4333.00</v>
          </cell>
          <cell r="E679" t="str">
            <v>Budesonida. Suspensión para nebulizar. Cada envase contiene: Budesonida (micronizada) 0.500 mg. Envase con 5 envases con 2 ml.</v>
          </cell>
          <cell r="U679">
            <v>65126</v>
          </cell>
          <cell r="V679">
            <v>162812</v>
          </cell>
        </row>
        <row r="680">
          <cell r="A680">
            <v>677</v>
          </cell>
          <cell r="B680" t="str">
            <v>010.000.4333.01</v>
          </cell>
          <cell r="E680" t="str">
            <v>Budesonida. Suspensión para nebulizar. Cada envase contiene: Budesonida (micronizada) 0.500 mg. Envase con 20 envases con 2 ml.</v>
          </cell>
          <cell r="U680">
            <v>171465</v>
          </cell>
          <cell r="V680">
            <v>428661</v>
          </cell>
        </row>
        <row r="681">
          <cell r="A681">
            <v>678</v>
          </cell>
          <cell r="B681" t="str">
            <v>010.000.4335.00</v>
          </cell>
          <cell r="E681" t="str">
            <v>Montelukast. Granulado Cada sobre contiene: Montelukast sódico equivalente a 4 mg de montelukast Envase con 10 sobres.</v>
          </cell>
          <cell r="U681">
            <v>18</v>
          </cell>
          <cell r="V681">
            <v>43</v>
          </cell>
        </row>
        <row r="682">
          <cell r="A682">
            <v>679</v>
          </cell>
          <cell r="B682" t="str">
            <v>010.000.4335.01</v>
          </cell>
          <cell r="E682" t="str">
            <v>Montelukast. Granulado Cada sobre contiene: Montelukast sódico equivalente a 4 mg de montelukast Envase con 20 sobres</v>
          </cell>
          <cell r="U682">
            <v>4</v>
          </cell>
          <cell r="V682">
            <v>8</v>
          </cell>
        </row>
        <row r="683">
          <cell r="A683">
            <v>680</v>
          </cell>
          <cell r="B683" t="str">
            <v>010.000.4335.02</v>
          </cell>
          <cell r="E683" t="str">
            <v>MONTELUKAST. GRANULADO CADA SOBRE CONTIENE: MONTELUKAST SÓDICO EQUIVALENTE A 4 MG DE MONTELUKAST ENVASE CON 30 SOBRES.</v>
          </cell>
          <cell r="U683">
            <v>16910</v>
          </cell>
          <cell r="V683">
            <v>42273</v>
          </cell>
        </row>
        <row r="684">
          <cell r="A684">
            <v>681</v>
          </cell>
          <cell r="B684" t="str">
            <v>010.000.4336.00</v>
          </cell>
          <cell r="E684" t="str">
            <v>Budesonida. Cápsula Cada Cápsula contiene: Budesonida 3 mg Envase con 30 Cápsulas.</v>
          </cell>
          <cell r="U684">
            <v>156</v>
          </cell>
          <cell r="V684">
            <v>390</v>
          </cell>
        </row>
        <row r="685">
          <cell r="A685">
            <v>682</v>
          </cell>
          <cell r="B685" t="str">
            <v>010.000.4337.00</v>
          </cell>
          <cell r="E685" t="str">
            <v>Budesonida. Suspensión. Para Inhalación. Cada ml contiene Budesonida 1.280 mg. Envase con frasco pulverizador con 6 ml (120 dosis de 64 µg cada una).</v>
          </cell>
          <cell r="U685">
            <v>104111</v>
          </cell>
          <cell r="V685">
            <v>260276</v>
          </cell>
        </row>
        <row r="686">
          <cell r="A686">
            <v>683</v>
          </cell>
          <cell r="B686" t="str">
            <v>010.000.4352.01</v>
          </cell>
          <cell r="E686" t="str">
            <v>TOXINA BOTULÍNICA TIPO A. SOLUCIÓN INYECTABLE. CADA FRASCO ÁMPULA CON POLVO CONTIENE: TOXINA BOTULÍNICA. TIPO A 500 U/3 ML. (COMPLEJO HEMAGLUTININA-TOXINA CLOSTRIDIUM BOTULINUM TIPO A). ENVASE CON UN FRASCO ÁMPULA DE 3 ML.</v>
          </cell>
          <cell r="U686">
            <v>164</v>
          </cell>
          <cell r="V686">
            <v>408</v>
          </cell>
        </row>
        <row r="687">
          <cell r="A687">
            <v>684</v>
          </cell>
          <cell r="B687" t="str">
            <v>010.000.4356.00</v>
          </cell>
          <cell r="E687" t="str">
            <v>Pregabalina. Cápsula Cada Cápsula contiene: Pregabalina 75 mg Envase con 14 Cápsulas</v>
          </cell>
          <cell r="U687">
            <v>18971</v>
          </cell>
          <cell r="V687">
            <v>47426</v>
          </cell>
        </row>
        <row r="688">
          <cell r="A688">
            <v>685</v>
          </cell>
          <cell r="B688" t="str">
            <v>010.000.4356.01</v>
          </cell>
          <cell r="E688" t="str">
            <v>Pregabalina. Cápsula Cada Cápsula contiene: Pregabalina 75 mg Envase con 28 Cápsulas</v>
          </cell>
          <cell r="U688">
            <v>4561880</v>
          </cell>
          <cell r="V688">
            <v>11404700</v>
          </cell>
        </row>
        <row r="689">
          <cell r="A689">
            <v>686</v>
          </cell>
          <cell r="B689" t="str">
            <v>010.000.4358.00</v>
          </cell>
          <cell r="E689" t="str">
            <v>Pregabalina. Cápsula Cada Cápsula contiene: Pregabalina 150 mg Envase con 14 Cápsulas</v>
          </cell>
          <cell r="U689">
            <v>873</v>
          </cell>
          <cell r="V689">
            <v>2180</v>
          </cell>
        </row>
        <row r="690">
          <cell r="A690">
            <v>687</v>
          </cell>
          <cell r="B690" t="str">
            <v>010.000.4358.01</v>
          </cell>
          <cell r="E690" t="str">
            <v>Pregabalina. Cápsula Cada Cápsula contiene: Pregabalina 150 mg Envase con 28 Cápsulas</v>
          </cell>
          <cell r="U690">
            <v>1213670</v>
          </cell>
          <cell r="V690">
            <v>3034172</v>
          </cell>
        </row>
        <row r="691">
          <cell r="A691">
            <v>688</v>
          </cell>
          <cell r="B691" t="str">
            <v>010.000.4359.00</v>
          </cell>
          <cell r="E691" t="str">
            <v>Gabapentina. Cápsula. Cada cápsula contiene: Gabapentina 300 mg Envase con 15 Cápsulas.</v>
          </cell>
          <cell r="U691">
            <v>11653840</v>
          </cell>
          <cell r="V691">
            <v>29134599</v>
          </cell>
        </row>
        <row r="692">
          <cell r="A692">
            <v>689</v>
          </cell>
          <cell r="B692" t="str">
            <v>010.000.4361.00</v>
          </cell>
          <cell r="E692" t="str">
            <v>ZOLMITRIPTANO. TABLETA DISPERSABLE CADA TABLETA DISPERSABLE CONTIENE: ZOLMITRIPTANO 2.5 MG ENVASE CON 2 TABLETAS DISPERSABLES.</v>
          </cell>
          <cell r="U692">
            <v>328904</v>
          </cell>
          <cell r="V692">
            <v>822259</v>
          </cell>
        </row>
        <row r="693">
          <cell r="A693">
            <v>690</v>
          </cell>
          <cell r="B693" t="str">
            <v>010.000.4361.01</v>
          </cell>
          <cell r="E693" t="str">
            <v>ZOLMITRIPTANO. TABLETA DISPERSABLE CADA TABLETA DISPERSABLE CONTIENE: ZOLMITRIPTANO 2.5 MG ENVASE CON 3 TABLETAS DISPERSABLES.</v>
          </cell>
          <cell r="U693">
            <v>771</v>
          </cell>
          <cell r="V693">
            <v>1925</v>
          </cell>
        </row>
        <row r="694">
          <cell r="A694">
            <v>691</v>
          </cell>
          <cell r="B694" t="str">
            <v>010.000.4363.00</v>
          </cell>
          <cell r="E694" t="str">
            <v>ACETATO DE GLATIRAMER. SOLUCIÓN INYECTABLE CADA JERINGA PRELLENADA CONTIENE: ACETATO DE GLATIRAMER 20 MG ENVASE CON 28 JERINGAS PRELLENADAS CON 1 ML (20 MG/ML).</v>
          </cell>
          <cell r="U694">
            <v>4646</v>
          </cell>
          <cell r="V694">
            <v>11611</v>
          </cell>
        </row>
        <row r="695">
          <cell r="A695">
            <v>692</v>
          </cell>
          <cell r="B695" t="str">
            <v>010.000.4364.01</v>
          </cell>
          <cell r="E695" t="str">
            <v>Donepecilo. Tableta Cada Tableta contiene: Clorhidrato de donepecilo 5 mg Envase con 28 Tabletas.</v>
          </cell>
          <cell r="U695">
            <v>22774</v>
          </cell>
          <cell r="V695">
            <v>56934</v>
          </cell>
        </row>
        <row r="696">
          <cell r="A696">
            <v>693</v>
          </cell>
          <cell r="B696" t="str">
            <v>010.000.4364.02</v>
          </cell>
          <cell r="E696" t="str">
            <v>DONEPECILO. TABLETA CADA TABLETA CONTIENE: CLORHIDRATO DE DONEPECILO 5 MG ENVASE CON 30 TABLETAS.</v>
          </cell>
          <cell r="U696">
            <v>86</v>
          </cell>
          <cell r="V696">
            <v>214</v>
          </cell>
        </row>
        <row r="697">
          <cell r="A697">
            <v>694</v>
          </cell>
          <cell r="B697" t="str">
            <v>010.000.4365.01</v>
          </cell>
          <cell r="E697" t="str">
            <v>Donepecilo. Tableta Cada Tableta contiene: Clorhidrato de donepecilo 10 mg Envase con 28 Tabletas.</v>
          </cell>
          <cell r="U697">
            <v>69038</v>
          </cell>
          <cell r="V697">
            <v>172593</v>
          </cell>
        </row>
        <row r="698">
          <cell r="A698">
            <v>695</v>
          </cell>
          <cell r="B698" t="str">
            <v>010.000.4367.00</v>
          </cell>
          <cell r="E698" t="str">
            <v>ELETRIPTÁN. TABLETA CADA TABLETA CONTIENE: BROMHIDRATO DE ELETRIPTÁN EQUIVALENTE A 80 MG DE ELETRIPTÁN ENVASE CON DOS TABLETAS.</v>
          </cell>
          <cell r="U698">
            <v>5689</v>
          </cell>
          <cell r="V698">
            <v>14221</v>
          </cell>
        </row>
        <row r="699">
          <cell r="A699">
            <v>696</v>
          </cell>
          <cell r="B699" t="str">
            <v>010.000.4368.00</v>
          </cell>
          <cell r="E699" t="str">
            <v>ABACAVIR -LAMIVUDINA -ZIDOVUDINA TABLETA CADA TABLETA CONTIENE: SULFATO DEABACAVIR EQUIVALENTE A 300 MG DE ABACAVIR. LAMIVUDINA 150 MG ZIDOVUDINA 300 MGENVASE CON 60 TABLETAS.</v>
          </cell>
          <cell r="U699">
            <v>242</v>
          </cell>
          <cell r="V699">
            <v>603</v>
          </cell>
        </row>
        <row r="700">
          <cell r="A700">
            <v>697</v>
          </cell>
          <cell r="B700" t="str">
            <v>010.000.4370.00</v>
          </cell>
          <cell r="E700" t="str">
            <v>Efavirenz. Comprimido recubierto. Cada comprimido contiene: Efavirenz 600 mg. Envase con 30 comprimidos recubiertos.</v>
          </cell>
          <cell r="U700">
            <v>4917</v>
          </cell>
          <cell r="V700">
            <v>12289</v>
          </cell>
        </row>
        <row r="701">
          <cell r="A701">
            <v>698</v>
          </cell>
          <cell r="B701" t="str">
            <v>010.000.4371.00</v>
          </cell>
          <cell r="E701" t="str">
            <v>Abacavir-lamivudina. Tableta. Cada tableta contiene: Sulfato de abacavir equivalente a 600 mg de abacavir. Lamivudina 300 mg. Envase con 30 tabletas.</v>
          </cell>
          <cell r="U701">
            <v>13571</v>
          </cell>
          <cell r="V701">
            <v>33927</v>
          </cell>
        </row>
        <row r="702">
          <cell r="A702">
            <v>699</v>
          </cell>
          <cell r="B702" t="str">
            <v>010.000.4372.01</v>
          </cell>
          <cell r="E702" t="str">
            <v>Valaciclovir. Comprimido Recubierto Cada Comprimido Recubierto contiene: Clorhidrato de valaciclovir equivalente a 500 mg de valaciclovir Envase con 42 Comprimidos Recubiertos</v>
          </cell>
          <cell r="U702">
            <v>3374</v>
          </cell>
          <cell r="V702">
            <v>8434</v>
          </cell>
        </row>
        <row r="703">
          <cell r="A703">
            <v>700</v>
          </cell>
          <cell r="B703" t="str">
            <v>010.000.4373.00</v>
          </cell>
          <cell r="E703" t="str">
            <v>Valganciclovir. Comprimido Cada Comprimido contiene: Clorhidrato de valganciclovir equivalente a 450 mg de valganciclovir. Envase con 60 Comprimidos</v>
          </cell>
          <cell r="U703">
            <v>18516</v>
          </cell>
          <cell r="V703">
            <v>46290</v>
          </cell>
        </row>
        <row r="704">
          <cell r="A704">
            <v>701</v>
          </cell>
          <cell r="B704" t="str">
            <v>010.000.4379.00</v>
          </cell>
          <cell r="E704" t="str">
            <v>RIVASTIGMINA. PARCHE CADA PARCHE DE 5 CM2 CONTIENE: TARTRATO DE RIVASTIGMINA EQUIVALENTE A 9 MG DE RIVASTIGMINA ENVASE CON 30 PARCHES. CADA PARCHE LIBERA 4.6 MG/24 HORAS.</v>
          </cell>
          <cell r="U704">
            <v>32866</v>
          </cell>
          <cell r="V704">
            <v>82161</v>
          </cell>
        </row>
        <row r="705">
          <cell r="A705">
            <v>702</v>
          </cell>
          <cell r="B705" t="str">
            <v>010.000.4380.00</v>
          </cell>
          <cell r="E705" t="str">
            <v>Rivastigmina. Parche Cada Parche de 10 cm2 contiene: Tartrato de rivastigmina equivalente a 18 mg de rivastigmina Envase con 30 Parches. cada Parche libera 9.5 mg/24 horas.</v>
          </cell>
          <cell r="U705">
            <v>40239</v>
          </cell>
          <cell r="V705">
            <v>100595</v>
          </cell>
        </row>
        <row r="706">
          <cell r="A706">
            <v>703</v>
          </cell>
          <cell r="B706" t="str">
            <v>010.000.4385.00</v>
          </cell>
          <cell r="E706" t="str">
            <v>Entecavir. Tableta Cada Tableta contiene: Entecavir 0.50 mg Envase con 30 Tabletas.</v>
          </cell>
          <cell r="U706">
            <v>5531</v>
          </cell>
          <cell r="V706">
            <v>13826</v>
          </cell>
        </row>
        <row r="707">
          <cell r="A707">
            <v>704</v>
          </cell>
          <cell r="B707" t="str">
            <v>010.000.4396.01</v>
          </cell>
          <cell r="E707" t="str">
            <v>Emtricitabina-tenofovir. Tableta. Cada Tableta contiene: Tenofovir disoproxil succinato equivalente a 245 mg de tenofovir disoproxil Emtricitabina 200 mg Envase con 30 Tabletas.</v>
          </cell>
          <cell r="U707">
            <v>499597</v>
          </cell>
          <cell r="V707">
            <v>1248989</v>
          </cell>
        </row>
        <row r="708">
          <cell r="A708">
            <v>705</v>
          </cell>
          <cell r="B708" t="str">
            <v>010.000.4402.00</v>
          </cell>
          <cell r="E708" t="str">
            <v>Hialuronato de sodio. Solución Oftálmica Cada ml contiene: Hialuronato sódico 10.0 mg Fosfato dibásico de sodio dodecahidratado 0.56 mg Fosfato monobásico de sodio dihidratado 0.045 mg Cloruro de sodio: 8.5 mg Envase con jeringa con 1 ml de Solución.</v>
          </cell>
          <cell r="U708">
            <v>2244</v>
          </cell>
          <cell r="V708">
            <v>5610</v>
          </cell>
        </row>
        <row r="709">
          <cell r="A709">
            <v>706</v>
          </cell>
          <cell r="B709" t="str">
            <v>010.000.4407.00</v>
          </cell>
          <cell r="E709" t="str">
            <v>Tetracaína. Solución Oftálmica Cada ml contiene: Clorhidrato de Tetracaína 5.0 mg Envase con gotero integral con 10 ml.</v>
          </cell>
          <cell r="U709">
            <v>56006</v>
          </cell>
          <cell r="V709">
            <v>140013</v>
          </cell>
        </row>
        <row r="710">
          <cell r="A710">
            <v>707</v>
          </cell>
          <cell r="B710" t="str">
            <v>010.000.4408.00</v>
          </cell>
          <cell r="E710" t="str">
            <v>Diclofenaco. Solución oftálmica. Cada ml contiene: Diclofenaco sódico 1.0 mg Envase con gotero integral con 5 ml</v>
          </cell>
          <cell r="U710">
            <v>133584</v>
          </cell>
          <cell r="V710">
            <v>333958</v>
          </cell>
        </row>
        <row r="711">
          <cell r="A711">
            <v>708</v>
          </cell>
          <cell r="B711" t="str">
            <v>010.000.4409.01</v>
          </cell>
          <cell r="E711" t="str">
            <v>Tropicamida. Solución Oftálmica Cada 100 ml contienen: Tropicamida 1 g Envase con gotero integral con 15 ml</v>
          </cell>
          <cell r="U711">
            <v>345</v>
          </cell>
          <cell r="V711">
            <v>861</v>
          </cell>
        </row>
        <row r="712">
          <cell r="A712">
            <v>709</v>
          </cell>
          <cell r="B712" t="str">
            <v>010.000.4410.00</v>
          </cell>
          <cell r="E712" t="str">
            <v>Dorzolamida. Solución Oftálmica Cada ml contiene: Clorhidrato de dorzolamida equivalente a 20 mg de dorzolamida Envase con gotero integral con 5 ml.</v>
          </cell>
          <cell r="U712">
            <v>401579</v>
          </cell>
          <cell r="V712">
            <v>1003944</v>
          </cell>
        </row>
        <row r="713">
          <cell r="A713">
            <v>710</v>
          </cell>
          <cell r="B713" t="str">
            <v>010.000.4411.00</v>
          </cell>
          <cell r="E713" t="str">
            <v>Latanoprost. Solución Oftálmica Cada ml contiene: Latanoprost 50 µg Envase con un frasco gotero con 2.5 ml.</v>
          </cell>
          <cell r="U713">
            <v>33589</v>
          </cell>
          <cell r="V713">
            <v>83971</v>
          </cell>
        </row>
        <row r="714">
          <cell r="A714">
            <v>711</v>
          </cell>
          <cell r="B714" t="str">
            <v>010.000.4411.01</v>
          </cell>
          <cell r="E714" t="str">
            <v>Latanoprost. Solución Oftálmica Cada ml contiene: Latanoprost 50 µgEnvase con un frasco gotero con 3.0 ml.</v>
          </cell>
          <cell r="U714">
            <v>793970</v>
          </cell>
          <cell r="V714">
            <v>1984923</v>
          </cell>
        </row>
        <row r="715">
          <cell r="A715">
            <v>712</v>
          </cell>
          <cell r="B715" t="str">
            <v>010.000.4412.00</v>
          </cell>
          <cell r="E715" t="str">
            <v>Dorzolamida y timolol. Solución Oftálmica Cada ml contiene: Clorhidrato de dorzolamida equivalente a 20 mg de dorzolamida Maleato de timolol equivalente a 5 mg de timolol Envase con gotero integral con 5 ml</v>
          </cell>
          <cell r="U715">
            <v>1443789</v>
          </cell>
          <cell r="V715">
            <v>3609470</v>
          </cell>
        </row>
        <row r="716">
          <cell r="A716">
            <v>713</v>
          </cell>
          <cell r="B716" t="str">
            <v>010.000.4413.00</v>
          </cell>
          <cell r="E716" t="str">
            <v>Brimonidina. Solución Oftálmica Cada ml contiene: Tartrato de brimonidina 2.0 mg Envase con frasco gotero con 5 ml.</v>
          </cell>
          <cell r="U716">
            <v>28374</v>
          </cell>
          <cell r="V716">
            <v>70932</v>
          </cell>
        </row>
        <row r="717">
          <cell r="A717">
            <v>714</v>
          </cell>
          <cell r="B717" t="str">
            <v>010.000.4415.00</v>
          </cell>
          <cell r="E717" t="str">
            <v>VERTEPORFINA SOLUCION INYECTABLE CADA FRASCO AMPULA CON LIOFILIZADO CONTIENE:VERTEPORFINA 15 MG ENVASE CON UN FRASCO AMPULA.</v>
          </cell>
          <cell r="U717">
            <v>304</v>
          </cell>
          <cell r="V717">
            <v>756</v>
          </cell>
        </row>
        <row r="718">
          <cell r="A718">
            <v>715</v>
          </cell>
          <cell r="B718" t="str">
            <v>010.000.4416.00</v>
          </cell>
          <cell r="E718" t="str">
            <v>Ciclosporina. Solución Oftálmica Cada ml contiene: Ciclosporina A 1.0 mg Envase con frasco gotero con 5 ml.</v>
          </cell>
          <cell r="U718">
            <v>32152</v>
          </cell>
          <cell r="V718">
            <v>80376</v>
          </cell>
        </row>
        <row r="719">
          <cell r="A719">
            <v>716</v>
          </cell>
          <cell r="B719" t="str">
            <v>010.000.4418.00</v>
          </cell>
          <cell r="E719" t="str">
            <v>Travoprost. Solución Oftálmica Cada ml contiene: Travoprost 40 µg Envase con un frasco gotero con 2.5 ml.</v>
          </cell>
          <cell r="U719">
            <v>663412</v>
          </cell>
          <cell r="V719">
            <v>1658529</v>
          </cell>
        </row>
        <row r="720">
          <cell r="A720">
            <v>717</v>
          </cell>
          <cell r="B720" t="str">
            <v>010.000.4420.00</v>
          </cell>
          <cell r="E720" t="str">
            <v>Brimonidina - timolol. Solución Oftálmica Cada mililitro contiene: Tartrato de brimonidina 2.00 mg Maleato de timolol 6.80 mg Envase con gotero integral con 5 ml.</v>
          </cell>
          <cell r="U720">
            <v>352746</v>
          </cell>
          <cell r="V720">
            <v>881864</v>
          </cell>
        </row>
        <row r="721">
          <cell r="A721">
            <v>718</v>
          </cell>
          <cell r="B721" t="str">
            <v>010.000.4431.00</v>
          </cell>
          <cell r="E721" t="str">
            <v>CARBOPLATINO. SOLUCIÓN INYECTABLE. Cada frasco ámpula contiene: Carboplatino 150 mg Envase con un frasco ámpula.</v>
          </cell>
          <cell r="U721">
            <v>192340</v>
          </cell>
          <cell r="V721">
            <v>480848</v>
          </cell>
        </row>
        <row r="722">
          <cell r="A722">
            <v>719</v>
          </cell>
          <cell r="B722" t="str">
            <v>010.000.4432.00</v>
          </cell>
          <cell r="E722" t="str">
            <v>Ifosfamida. Solución Inyectable. Cada frasco ámpula con polvo o liofilizado contiene: Ifosfamida 1 g. Envase con un frasco ámpula.</v>
          </cell>
          <cell r="U722">
            <v>30518</v>
          </cell>
          <cell r="V722">
            <v>76292</v>
          </cell>
        </row>
        <row r="723">
          <cell r="A723">
            <v>720</v>
          </cell>
          <cell r="B723" t="str">
            <v>010.000.4432.01</v>
          </cell>
          <cell r="E723" t="str">
            <v>Ifosfamida. Solución Inyectable. Cada frasco ámpula con polvo o liofilizado contiene: Ifosfamida 1 g. Envase con 10 frascos ámpula.</v>
          </cell>
          <cell r="U723">
            <v>16940</v>
          </cell>
          <cell r="V723">
            <v>42346</v>
          </cell>
        </row>
        <row r="724">
          <cell r="A724">
            <v>721</v>
          </cell>
          <cell r="B724" t="str">
            <v>010.000.4433.00</v>
          </cell>
          <cell r="E724" t="str">
            <v>MESNA. SOLUCIÓN INYECTABLE Cada ampolleta o frasco ámpula o vial contiene: Mesna 400 mg Envase con 5 ampolletas o frascos ámpula o viales con 4 mL (100 mg/mL).</v>
          </cell>
          <cell r="U724">
            <v>76876</v>
          </cell>
          <cell r="V724">
            <v>192188</v>
          </cell>
        </row>
        <row r="725">
          <cell r="A725">
            <v>722</v>
          </cell>
          <cell r="B725" t="str">
            <v>010.000.4437.00</v>
          </cell>
          <cell r="E725" t="str">
            <v>Palonosetrón. Solución Inyectable Cada frasco ámpula contiene: Clorhidrato de palonosetrón equivalente a 0.25 mg de palonosetrón Envase con un frasco ámpula con 5 ml.</v>
          </cell>
          <cell r="U725">
            <v>163640</v>
          </cell>
          <cell r="V725">
            <v>409099</v>
          </cell>
        </row>
        <row r="726">
          <cell r="A726">
            <v>723</v>
          </cell>
          <cell r="B726" t="str">
            <v>010.000.4441.00</v>
          </cell>
          <cell r="E726" t="str">
            <v>Granisetron. Solución Inyectable Cada ampolleta contiene: Clorhidrato de granisetrón equivalente a 3 mg de granisetrón. Envase con 3 ml.</v>
          </cell>
          <cell r="U726">
            <v>152</v>
          </cell>
          <cell r="V726">
            <v>380</v>
          </cell>
        </row>
        <row r="727">
          <cell r="A727">
            <v>724</v>
          </cell>
          <cell r="B727" t="str">
            <v>010.000.4442.00</v>
          </cell>
          <cell r="E727" t="str">
            <v>Aprepitant. Cápsula Cada Cápsula contiene: 125 mg de Aprepitant Cada Cápsula contiene: 80 mg de Aprepitant Envase con una Cápsula de 125 mg y 2 Cápsulas de 80 mg</v>
          </cell>
          <cell r="U727">
            <v>125574</v>
          </cell>
          <cell r="V727">
            <v>313933</v>
          </cell>
        </row>
        <row r="728">
          <cell r="A728">
            <v>725</v>
          </cell>
          <cell r="B728" t="str">
            <v>010.000.4444.00</v>
          </cell>
          <cell r="E728" t="str">
            <v>DEXRAZOXANO. SOLUCIÓN INYECTABLE. EL FRASCO ÁMPULA CONTIENE: CLORHIDRATO DE DEXRAZOXANO EQUIVALENTE A 500 MG DE DEXRAZOXANO. ENVASE CON UN FRASCO ÁMPULA.</v>
          </cell>
          <cell r="U728">
            <v>29624</v>
          </cell>
          <cell r="V728">
            <v>74059</v>
          </cell>
        </row>
        <row r="729">
          <cell r="A729">
            <v>726</v>
          </cell>
          <cell r="B729" t="str">
            <v>010.000.4445.00</v>
          </cell>
          <cell r="E729" t="str">
            <v>Vinorelbina. Cápsula Cada Cápsula contiene: Bitartrato de vinorelbina equivalente a 20.00 mg de Vinorelbina Envase con una Cápsula</v>
          </cell>
          <cell r="U729">
            <v>22474</v>
          </cell>
          <cell r="V729">
            <v>56181</v>
          </cell>
        </row>
        <row r="730">
          <cell r="A730">
            <v>727</v>
          </cell>
          <cell r="B730" t="str">
            <v>010.000.4446.00</v>
          </cell>
          <cell r="E730" t="str">
            <v>Vinorelbina. Cápsula Cada Cápsula contiene: Bitartrato de vinorelbina equivalente a 30.00 mg de Vinorelbina Envase con una Cápsula.</v>
          </cell>
          <cell r="U730">
            <v>52146</v>
          </cell>
          <cell r="V730">
            <v>130362</v>
          </cell>
        </row>
        <row r="731">
          <cell r="A731">
            <v>728</v>
          </cell>
          <cell r="B731" t="str">
            <v>010.000.4448.00</v>
          </cell>
          <cell r="E731" t="str">
            <v>BORTEZOMIB. SOLUCIÓN INYECTABLE CADA FRASCO ÁMPULA CON LIOFILIZADO CONTIENE: BORTEZOMIB 3.5 MG ENVASE CON UN FRASCO ÁMPULA.</v>
          </cell>
          <cell r="U731">
            <v>33277</v>
          </cell>
          <cell r="V731">
            <v>83190</v>
          </cell>
        </row>
        <row r="732">
          <cell r="A732">
            <v>729</v>
          </cell>
          <cell r="B732" t="str">
            <v>010.000.4464.03</v>
          </cell>
          <cell r="E732" t="str">
            <v>Galantamina. Cápsulas de liberacion prolongada. Cada capsula de liberacion prolongada contiene: Brohidrato de galantamina equivalente a 8 mg de galantamina. Envase con 56 capsulas</v>
          </cell>
          <cell r="U732">
            <v>1727</v>
          </cell>
          <cell r="V732">
            <v>4315</v>
          </cell>
        </row>
        <row r="733">
          <cell r="A733">
            <v>730</v>
          </cell>
          <cell r="B733" t="str">
            <v>010.000.4465.00</v>
          </cell>
          <cell r="E733" t="str">
            <v>Galantamina. Cápsula de liberación prolongada. Cada cápsula de liberación prolongada contiene: Bromhidrato de galantamina equivalente a 16 mg de galantamina Envase con 7 Cápsulas de Liberación Prolongada.</v>
          </cell>
          <cell r="U733">
            <v>21000</v>
          </cell>
          <cell r="V733">
            <v>52500</v>
          </cell>
        </row>
        <row r="734">
          <cell r="A734">
            <v>731</v>
          </cell>
          <cell r="B734" t="str">
            <v>010.000.4465.03</v>
          </cell>
          <cell r="E734" t="str">
            <v>GALANTAMINA. CAPSULA DE LIBERACION PROLONGADA. CADA CAPSULA DE LIBERACION PROLONGADA CONTIENE: BROMHIDRATO DE GALANTAMINA EQUIVALENTE A 16 MG DE GALANTAMINA ENVASE CON 56 CAPSULAS DE LIBERACION PROLONGADA.</v>
          </cell>
          <cell r="U734">
            <v>1577</v>
          </cell>
          <cell r="V734">
            <v>3941</v>
          </cell>
        </row>
        <row r="735">
          <cell r="A735">
            <v>732</v>
          </cell>
          <cell r="B735" t="str">
            <v>010.000.4480.00</v>
          </cell>
          <cell r="E735" t="str">
            <v>Escitalopram. Tableta Cada Tableta contiene: oxalato de escitalopram equivalente a 10 mg de escitalopram Envase con 14 Tabletas.</v>
          </cell>
          <cell r="U735">
            <v>4242</v>
          </cell>
          <cell r="V735">
            <v>10604</v>
          </cell>
        </row>
        <row r="736">
          <cell r="A736">
            <v>733</v>
          </cell>
          <cell r="B736" t="str">
            <v>010.000.4480.01</v>
          </cell>
          <cell r="E736" t="str">
            <v>Escitalopram. Tableta Cada Tableta contiene: oxalato de escitalopram equivalente a 10 mg de escitalopram Envase con 28 Tabletas.</v>
          </cell>
          <cell r="U736">
            <v>925094</v>
          </cell>
          <cell r="V736">
            <v>2312733</v>
          </cell>
        </row>
        <row r="737">
          <cell r="A737">
            <v>734</v>
          </cell>
          <cell r="B737" t="str">
            <v>010.000.4483.01</v>
          </cell>
          <cell r="E737" t="str">
            <v>Fluoxetina. Cápsula o Tableta Cada Cápsula o Tableta contiene: Clorhidrato de fluoxetina equivalente a 20 mg de fluoxetina. Envase con 28 Cápsulas o Tabletas.</v>
          </cell>
          <cell r="U737">
            <v>2621392</v>
          </cell>
          <cell r="V737">
            <v>6553478</v>
          </cell>
        </row>
        <row r="738">
          <cell r="A738">
            <v>735</v>
          </cell>
          <cell r="B738" t="str">
            <v>010.000.4485.00</v>
          </cell>
          <cell r="E738" t="str">
            <v>Duloxetina. Cápsula de liberación retardada. Cada cápsula de liberación retardada contiene: Clorhidrato de duloxetina equivalente a 60 mg de duloxetina Envase con 14 Cápsulas de Liberación Retardada.</v>
          </cell>
          <cell r="U738">
            <v>629342</v>
          </cell>
          <cell r="V738">
            <v>1573353</v>
          </cell>
        </row>
        <row r="739">
          <cell r="A739">
            <v>736</v>
          </cell>
          <cell r="B739" t="str">
            <v>010.000.4487.00</v>
          </cell>
          <cell r="E739" t="str">
            <v>Reboxetina. Tableta Cada Tableta contiene Metansulfonato de reboxetina equivalente a 4 mg de reboxetina Envase con 60 Tabletas.</v>
          </cell>
          <cell r="U739">
            <v>1640</v>
          </cell>
          <cell r="V739">
            <v>4098</v>
          </cell>
        </row>
        <row r="740">
          <cell r="A740">
            <v>737</v>
          </cell>
          <cell r="B740" t="str">
            <v>010.000.4488.00</v>
          </cell>
          <cell r="E740" t="str">
            <v>Venlafaxina. Cápsula o Gragea de Liberación Prolongada Cada Cápsula o Gragea de Liberación Prolongada contiene: Clorhidrato de venlafaxina equivalente a 75 mg de venlafaxina. Envase con 10 Cápsulas o Grageas de Liberación Prolongada.</v>
          </cell>
          <cell r="U740">
            <v>1913362</v>
          </cell>
          <cell r="V740">
            <v>4783402</v>
          </cell>
        </row>
        <row r="741">
          <cell r="A741">
            <v>738</v>
          </cell>
          <cell r="B741" t="str">
            <v>010.000.4490.00</v>
          </cell>
          <cell r="E741" t="str">
            <v>Aripiprazol. Tableta Cada Tableta contiene: Aripiprazol 15 mg Envase con 20 Tabletas.</v>
          </cell>
          <cell r="U741">
            <v>93178</v>
          </cell>
          <cell r="V741">
            <v>232944</v>
          </cell>
        </row>
        <row r="742">
          <cell r="A742">
            <v>739</v>
          </cell>
          <cell r="B742" t="str">
            <v>010.000.4504.00</v>
          </cell>
          <cell r="E742" t="str">
            <v>Sulfasalazina. Tableta CoN Capa Entérica Cada Tableta con Capa Entérica contiene: Sulfasalazina 500 mg Envase con 60 Tabletas con Capa Entérica.</v>
          </cell>
          <cell r="U742">
            <v>581902</v>
          </cell>
          <cell r="V742">
            <v>1454752</v>
          </cell>
        </row>
        <row r="743">
          <cell r="A743">
            <v>740</v>
          </cell>
          <cell r="B743" t="str">
            <v>010.000.4505.00</v>
          </cell>
          <cell r="E743" t="str">
            <v>Deflazacort. Tableta. Cada tableta contiene: deflazacort 6 mg Envase con 20 Tabletas.</v>
          </cell>
          <cell r="U743">
            <v>948439</v>
          </cell>
          <cell r="V743">
            <v>2371096</v>
          </cell>
        </row>
        <row r="744">
          <cell r="A744">
            <v>741</v>
          </cell>
          <cell r="B744" t="str">
            <v>010.000.4507.00</v>
          </cell>
          <cell r="E744" t="str">
            <v>DEFLAZACORT. TABLETA. CADA TABLETA CONTIENE: DEFLAZACORT 30 MG ENVASE CON 10 TABLETAS.</v>
          </cell>
          <cell r="U744">
            <v>112108</v>
          </cell>
          <cell r="V744">
            <v>280268</v>
          </cell>
        </row>
        <row r="745">
          <cell r="A745">
            <v>742</v>
          </cell>
          <cell r="B745" t="str">
            <v>010.000.4508.00</v>
          </cell>
          <cell r="E745" t="str">
            <v>Infliximab. Solución Inyectable El frasco ámpula con liofilizado contiene: Infliximab 100 mg Envase con un frasco ámpula con liofilizado e instructivo.</v>
          </cell>
          <cell r="U745">
            <v>33126</v>
          </cell>
          <cell r="V745">
            <v>82815</v>
          </cell>
        </row>
        <row r="746">
          <cell r="A746">
            <v>743</v>
          </cell>
          <cell r="B746" t="str">
            <v>010.000.4509.00</v>
          </cell>
          <cell r="E746" t="str">
            <v>DEFLAZACORT. SUSPENSION. CADA ML DE SUSPENSION CONTIENE: DEFLAZACORT 22.75 MG ENVASE CON FRASCO DE VIDRIO CON 13 ML DE SUSPENSION Y GOTERO.</v>
          </cell>
          <cell r="U746">
            <v>1980</v>
          </cell>
          <cell r="V746">
            <v>4946</v>
          </cell>
        </row>
        <row r="747">
          <cell r="A747">
            <v>744</v>
          </cell>
          <cell r="B747" t="str">
            <v>010.000.4510.00</v>
          </cell>
          <cell r="E747" t="str">
            <v>ETANERCEPT. SOLUCIÓN INYECTABLE CADA FRASCO ÁMPULA CONTIENE: ETANERCEPT 25 MG ENVASE CON 4 FRASCOS ÁMPULA 4 JERINGAS. CON 1 ML DE DILUYENTE Y 8 ALMOHADILLAS</v>
          </cell>
          <cell r="U747">
            <v>606</v>
          </cell>
          <cell r="V747">
            <v>1512</v>
          </cell>
        </row>
        <row r="748">
          <cell r="A748">
            <v>745</v>
          </cell>
          <cell r="B748" t="str">
            <v>010.000.4511.01</v>
          </cell>
          <cell r="E748" t="str">
            <v>Etanercept. Solución Inyectable Cada envase contiene: Etanercept 50 mg Envase con 2 Jeringas. prellenadas con 1 ml.</v>
          </cell>
          <cell r="U748">
            <v>43882</v>
          </cell>
          <cell r="V748">
            <v>109704</v>
          </cell>
        </row>
        <row r="749">
          <cell r="A749">
            <v>746</v>
          </cell>
          <cell r="B749" t="str">
            <v>010.000.4512.00</v>
          </cell>
          <cell r="E749" t="str">
            <v>Adalimumab. Solución Inyectable Cada frasco ámpula o jeringa prellenada o jeringa prellenada en autoinyector con 0.8 ml contienen: Adalimumab 40 mg Envase con una jeringa prellenada</v>
          </cell>
          <cell r="U749">
            <v>734</v>
          </cell>
          <cell r="V749">
            <v>1833</v>
          </cell>
        </row>
        <row r="750">
          <cell r="A750">
            <v>747</v>
          </cell>
          <cell r="B750" t="str">
            <v>010.000.4512.01</v>
          </cell>
          <cell r="E750" t="str">
            <v>ADALIMUMAB. SOLUCIÓN INYECTABLE CADA FRASCO ÁMPULA O JERINGA PRELLENADA O JERINGA PRELLENADA EN AUTOINYECTOR CON 0.8 ML CONTIENEN: ADALIMUMAB 40 MG ENVASE CON UN FRASCO ÁMPULA Y JERINGA</v>
          </cell>
          <cell r="U750">
            <v>2</v>
          </cell>
          <cell r="V750">
            <v>3</v>
          </cell>
        </row>
        <row r="751">
          <cell r="A751">
            <v>748</v>
          </cell>
          <cell r="B751" t="str">
            <v>010.000.4512.02</v>
          </cell>
          <cell r="E751" t="str">
            <v>Adalimumab. Solución Inyectable Cada frasco ámpula o jeringa prellenada o jeringa prellenada en autoinyector con 0.8 ml contienen: Adalimumab 40 mg Envase con una jeringa prellenada en autoinyector.</v>
          </cell>
          <cell r="U751">
            <v>101420</v>
          </cell>
          <cell r="V751">
            <v>253546</v>
          </cell>
        </row>
        <row r="752">
          <cell r="A752">
            <v>749</v>
          </cell>
          <cell r="B752" t="str">
            <v>010.000.4512.03</v>
          </cell>
          <cell r="E752" t="str">
            <v>Adalimumab. Solución Inyectable. Cada jeringa prellenada en autoinyector con 0.4 ml contiene: Adalimumab 40 mg Envase con una jeringa prellenada en autoinyector.</v>
          </cell>
          <cell r="U752">
            <v>39176</v>
          </cell>
          <cell r="V752">
            <v>97939</v>
          </cell>
        </row>
        <row r="753">
          <cell r="A753">
            <v>750</v>
          </cell>
          <cell r="B753" t="str">
            <v>010.000.4513.00</v>
          </cell>
          <cell r="E753" t="str">
            <v>Tocilizumab. Solución Inyectable Cada frasco ámpula contiene: Tocilizumab 80 mg Envase con frasco ámpula con 4 ml.</v>
          </cell>
          <cell r="U753">
            <v>23858</v>
          </cell>
          <cell r="V753">
            <v>59644</v>
          </cell>
        </row>
        <row r="754">
          <cell r="A754">
            <v>751</v>
          </cell>
          <cell r="B754" t="str">
            <v>010.000.4514.00</v>
          </cell>
          <cell r="E754" t="str">
            <v>Leflunomida. Comprimido Cada Comprimido contiene: Leflunomida 20 mg Envase con 30 Comprimidos.</v>
          </cell>
          <cell r="U754">
            <v>468961</v>
          </cell>
          <cell r="V754">
            <v>1172401</v>
          </cell>
        </row>
        <row r="755">
          <cell r="A755">
            <v>752</v>
          </cell>
          <cell r="B755" t="str">
            <v>010.000.4515.00</v>
          </cell>
          <cell r="E755" t="str">
            <v>LEFLUNOMIDA. COMPRIMIDO CADA COMPRIMIDO CONTIENE: LEFLUNOMIDA 100 MG ENVASE CON 3 COMPRIMIDOS.</v>
          </cell>
          <cell r="U755">
            <v>37600</v>
          </cell>
          <cell r="V755">
            <v>93999</v>
          </cell>
        </row>
        <row r="756">
          <cell r="A756">
            <v>753</v>
          </cell>
          <cell r="B756" t="str">
            <v>010.000.4516.00</v>
          </cell>
          <cell r="E756" t="str">
            <v>Tocilizumab. Solución Inyectable Cada frasco ámpula contiene: Tocilizumab 200 mg Envase con frasco ámpula con 10 ml.</v>
          </cell>
          <cell r="U756">
            <v>46178</v>
          </cell>
          <cell r="V756">
            <v>115441</v>
          </cell>
        </row>
        <row r="757">
          <cell r="A757">
            <v>754</v>
          </cell>
          <cell r="B757" t="str">
            <v>010.000.4526.00</v>
          </cell>
          <cell r="E757" t="str">
            <v>Levonorgestrel. Gragea Cada Gragea contiene: Levonorgestrel 0.03 mg Envase con 35 Grageas.</v>
          </cell>
          <cell r="U757">
            <v>160</v>
          </cell>
          <cell r="V757">
            <v>400</v>
          </cell>
        </row>
        <row r="758">
          <cell r="A758">
            <v>755</v>
          </cell>
          <cell r="B758" t="str">
            <v>010.000.4552.00</v>
          </cell>
          <cell r="E758" t="str">
            <v>Seroalbúmina humana o albúmina humana. Solución Inyectable Cada envase contiene: Seroalbúmina humana o albúmina humana 10 g Envase con 50 ml.</v>
          </cell>
          <cell r="U758">
            <v>590484</v>
          </cell>
          <cell r="V758">
            <v>1476207</v>
          </cell>
        </row>
        <row r="759">
          <cell r="A759">
            <v>756</v>
          </cell>
          <cell r="B759" t="str">
            <v>010.000.4580.00</v>
          </cell>
          <cell r="E759" t="str">
            <v>RIMANTADINA. SOLUCION ORAL CADA 100 ML CONTIENEN: CLORHIDRATO DE RIMANTADINA 5G ENVASE GOTERO CON 30 ML.</v>
          </cell>
          <cell r="U759">
            <v>9398</v>
          </cell>
          <cell r="V759">
            <v>23493</v>
          </cell>
        </row>
        <row r="760">
          <cell r="A760">
            <v>757</v>
          </cell>
          <cell r="B760" t="str">
            <v>010.000.4582.00</v>
          </cell>
          <cell r="E760" t="str">
            <v>Oseltamivir. Cápsula Cada Cápsula contiene: oseltamivir 75.0 mg Envase con 10 Cápsulas</v>
          </cell>
          <cell r="U760">
            <v>288823</v>
          </cell>
          <cell r="V760">
            <v>722056</v>
          </cell>
        </row>
        <row r="761">
          <cell r="A761">
            <v>758</v>
          </cell>
          <cell r="B761" t="str">
            <v>010.000.4583.00</v>
          </cell>
          <cell r="E761" t="str">
            <v>Oseltamivir. Cápsula Cada Cápsula contiene: Fosfato de oseltamivir equivalente a 45 mg de oseltamivir Envase con 10 Cápsulas</v>
          </cell>
          <cell r="U761">
            <v>38312</v>
          </cell>
          <cell r="V761">
            <v>95779</v>
          </cell>
        </row>
        <row r="762">
          <cell r="A762">
            <v>759</v>
          </cell>
          <cell r="B762" t="str">
            <v>010.000.4584.00</v>
          </cell>
          <cell r="E762" t="str">
            <v>Oseltamivir. Cápsula Cada Cápsula contiene: Fosfato de oseltamivir equivalente a 30 mg de oseltamivir Envase con 10 Cápsulas</v>
          </cell>
          <cell r="U762">
            <v>19688</v>
          </cell>
          <cell r="V762">
            <v>49218</v>
          </cell>
        </row>
        <row r="763">
          <cell r="A763">
            <v>760</v>
          </cell>
          <cell r="B763" t="str">
            <v>010.000.4585.00</v>
          </cell>
          <cell r="E763" t="str">
            <v>Oseltamivir. Suspensión Cada envase con 30 g de polvo contiene: Fosfato de oseltamivir equivalente a 0.9 g de oseltamivir Envase con 30 g. Reconstituir con 100 ml de agua para formar una Suspensión conteniendo 900 mg/75 ml (12 mg/ml).</v>
          </cell>
          <cell r="U763">
            <v>48414</v>
          </cell>
          <cell r="V763">
            <v>121033</v>
          </cell>
        </row>
        <row r="764">
          <cell r="A764">
            <v>761</v>
          </cell>
          <cell r="B764" t="str">
            <v>010.000.4590.00</v>
          </cell>
          <cell r="E764" t="str">
            <v>Tigeciclina. Solución Inyectable Cada frasco ámpula con liofilizado contiene: Tigeciclina 50 mg Envase con un frasco ámpula.</v>
          </cell>
          <cell r="U764">
            <v>169444</v>
          </cell>
          <cell r="V764">
            <v>423608</v>
          </cell>
        </row>
        <row r="765">
          <cell r="A765">
            <v>762</v>
          </cell>
          <cell r="B765" t="str">
            <v>010.000.4592.00</v>
          </cell>
          <cell r="E765" t="str">
            <v>Piperacilina-tazobactam. Solución Inyectable Cada frasco ámpula con polvo contiene: Piperacilina sódica equivalente a 4 g de piperacilina. Tazobactam sódico equivalente a 500 mg de tazobactam. Envase con frasco ámpula.</v>
          </cell>
          <cell r="U765">
            <v>981681</v>
          </cell>
          <cell r="V765">
            <v>2454199</v>
          </cell>
        </row>
        <row r="766">
          <cell r="A766">
            <v>763</v>
          </cell>
          <cell r="B766" t="str">
            <v>010.000.5082.00</v>
          </cell>
          <cell r="E766" t="str">
            <v>Tacrolimus. Cápsula Cada Cápsula contiene: Tacrolimus monohidratado equivalente a 5 mg de tacrolimus Envase con 50 Cápsulas.</v>
          </cell>
          <cell r="U766">
            <v>9964</v>
          </cell>
          <cell r="V766">
            <v>24909</v>
          </cell>
        </row>
        <row r="767">
          <cell r="A767">
            <v>764</v>
          </cell>
          <cell r="B767" t="str">
            <v>010.000.5082.01</v>
          </cell>
          <cell r="E767" t="str">
            <v>TACROLIMUS. CÁPSULA CADA CÁPSULA CONTIENE: TACROLIMUS MONOHIDRATADO EQUIVALENTE A 5 MG DE TACROLIMUS ENVASE CON 100 CÁPSULAS.</v>
          </cell>
          <cell r="U767">
            <v>4018</v>
          </cell>
          <cell r="V767">
            <v>10044</v>
          </cell>
        </row>
        <row r="768">
          <cell r="A768">
            <v>765</v>
          </cell>
          <cell r="B768" t="str">
            <v>010.000.5083.00</v>
          </cell>
          <cell r="E768" t="str">
            <v>Tacrolimus. Solución Inyectable Cada ampolleta contiene: Tacrolimus 5 mg Envase con 5 ampolletas.</v>
          </cell>
          <cell r="U768">
            <v>1094</v>
          </cell>
          <cell r="V768">
            <v>2732</v>
          </cell>
        </row>
        <row r="769">
          <cell r="A769">
            <v>766</v>
          </cell>
          <cell r="B769" t="str">
            <v>010.000.5083.01</v>
          </cell>
          <cell r="E769" t="str">
            <v>Tacrolimus. Solución Inyectable Cada ampolleta contiene: Tacrolimus 5 mg Envase con 10 ampolletas.</v>
          </cell>
          <cell r="U769">
            <v>80</v>
          </cell>
          <cell r="V769">
            <v>200</v>
          </cell>
        </row>
        <row r="770">
          <cell r="A770">
            <v>767</v>
          </cell>
          <cell r="B770" t="str">
            <v>010.000.5084.00</v>
          </cell>
          <cell r="E770" t="str">
            <v>Tacrolimus. Cápsula Cada Cápsula contiene: Tacrolimus monohidratado equivalente a 1 mg de tacrolimus Envase con 50 Cápsulas.</v>
          </cell>
          <cell r="U770">
            <v>106965</v>
          </cell>
          <cell r="V770">
            <v>267411</v>
          </cell>
        </row>
        <row r="771">
          <cell r="A771">
            <v>768</v>
          </cell>
          <cell r="B771" t="str">
            <v>010.000.5084.01</v>
          </cell>
          <cell r="E771" t="str">
            <v>Tacrolimus. Cápsula Cada Cápsula contiene: Tacrolimus monohidratado equivalente a 1 mg de tacrolimus Envase con 100 Cápsulas.</v>
          </cell>
          <cell r="U771">
            <v>208885</v>
          </cell>
          <cell r="V771">
            <v>522209</v>
          </cell>
        </row>
        <row r="772">
          <cell r="A772">
            <v>769</v>
          </cell>
          <cell r="B772" t="str">
            <v>010.000.5085.01</v>
          </cell>
          <cell r="E772" t="str">
            <v>DACLIZUMAB. SOLUCION INYECTABLE. CADA FRASCO AMPULA CONTIENE: DACLIZUMAB 25 MG.ENVASE CON 3 FRASCOS AMPULA CON 5 ML.</v>
          </cell>
          <cell r="U772">
            <v>92</v>
          </cell>
          <cell r="V772">
            <v>230</v>
          </cell>
        </row>
        <row r="773">
          <cell r="A773">
            <v>770</v>
          </cell>
          <cell r="B773" t="str">
            <v>010.000.5086.00</v>
          </cell>
          <cell r="E773" t="str">
            <v>SIROLIMUS. SOLUCIÓN CADA ML CONTIENE SIROLIMUS 1 MG ENVASE CON 60 ML.</v>
          </cell>
          <cell r="U773">
            <v>7766</v>
          </cell>
          <cell r="V773">
            <v>19411</v>
          </cell>
        </row>
        <row r="774">
          <cell r="A774">
            <v>771</v>
          </cell>
          <cell r="B774" t="str">
            <v>010.000.5087.00</v>
          </cell>
          <cell r="E774" t="str">
            <v>SIROLIMUS. GRAGEA O TALBETA CADA GRAGEA O TABLETA CONTIENE: SIROLIMUS 1 MG. ENVASE CON 60 GRAGEAS O TABLETAS.</v>
          </cell>
          <cell r="U774">
            <v>42271</v>
          </cell>
          <cell r="V774">
            <v>105677</v>
          </cell>
        </row>
        <row r="775">
          <cell r="A775">
            <v>772</v>
          </cell>
          <cell r="B775" t="str">
            <v>010.000.5097.00</v>
          </cell>
          <cell r="E775" t="str">
            <v>Levosimendan. Solución Inyectable Cada ml contiene: Levosimendan 2.5 mg Envase con 1 frasco ámpula con 5 ml.</v>
          </cell>
          <cell r="U775">
            <v>26246</v>
          </cell>
          <cell r="V775">
            <v>65613</v>
          </cell>
        </row>
        <row r="776">
          <cell r="A776">
            <v>773</v>
          </cell>
          <cell r="B776" t="str">
            <v>010.000.5097.01</v>
          </cell>
          <cell r="E776" t="str">
            <v>Levosimendan. Solución Inyectable Cada ml contiene: Levosimendan 2.5 mg Envase con 1 frasco ámpula con 10 ml.</v>
          </cell>
          <cell r="U776">
            <v>2</v>
          </cell>
          <cell r="V776">
            <v>2</v>
          </cell>
        </row>
        <row r="777">
          <cell r="A777">
            <v>774</v>
          </cell>
          <cell r="B777" t="str">
            <v>010.000.5099.00</v>
          </cell>
          <cell r="E777" t="str">
            <v>Adenosina. Solución Inyectable Cada frasco ámpula contiene: Adenosina 6 mg Envase con 6 frascos ámpula con 2 ml.</v>
          </cell>
          <cell r="U777">
            <v>43349</v>
          </cell>
          <cell r="V777">
            <v>108369</v>
          </cell>
        </row>
        <row r="778">
          <cell r="A778">
            <v>775</v>
          </cell>
          <cell r="B778" t="str">
            <v>010.000.5100.00</v>
          </cell>
          <cell r="E778" t="str">
            <v>Milrinona. Solución Inyectable Cada frasco ámpula contiene: Lactato de milrinona equivalente a 20 mg de milrinona. Envase con un frasco ámpula con 20 ml (1 mg/1 ml).</v>
          </cell>
          <cell r="U778">
            <v>337</v>
          </cell>
          <cell r="V778">
            <v>842</v>
          </cell>
        </row>
        <row r="779">
          <cell r="A779">
            <v>776</v>
          </cell>
          <cell r="B779" t="str">
            <v>010.000.5100.01</v>
          </cell>
          <cell r="E779" t="str">
            <v>Milrinona. Solución Inyectable. Cada ampolleta o frasco ámpula contiene: Lactato de milrinona equivalente a 10 mg de milrinona Envase con tres ampolletas o frascos ámpula con 10 ml cada una (1 mg/1 ml).</v>
          </cell>
          <cell r="U779">
            <v>21864</v>
          </cell>
          <cell r="V779">
            <v>54658</v>
          </cell>
        </row>
        <row r="780">
          <cell r="A780">
            <v>777</v>
          </cell>
          <cell r="B780" t="str">
            <v>010.000.5105.00</v>
          </cell>
          <cell r="E780" t="str">
            <v>Esmolol. Solución Inyectable Cada ampolleta contiene: Clorhidrato de esmolol 2.5 g Envase con 2 ampolletas con 10 ml. (250 mg/ml).</v>
          </cell>
          <cell r="U780">
            <v>22124</v>
          </cell>
          <cell r="V780">
            <v>55308</v>
          </cell>
        </row>
        <row r="781">
          <cell r="A781">
            <v>778</v>
          </cell>
          <cell r="B781" t="str">
            <v>010.000.5106.01</v>
          </cell>
          <cell r="E781" t="str">
            <v>ATORVASTATINA. TABLETA Cada tableta contiene: Atorvastatina cálcica trihidratada equivalente a 20 mg de atorvastatina. Envase con 30 tabletas.</v>
          </cell>
          <cell r="U781">
            <v>19298592</v>
          </cell>
          <cell r="V781">
            <v>48246476</v>
          </cell>
        </row>
        <row r="782">
          <cell r="A782">
            <v>779</v>
          </cell>
          <cell r="B782" t="str">
            <v>010.000.5111.00</v>
          </cell>
          <cell r="E782" t="str">
            <v>Valsartán. Comprimido Cada Comprimido contiene 80 mg Envase con 30 Comprimidos.</v>
          </cell>
          <cell r="U782">
            <v>257439</v>
          </cell>
          <cell r="V782">
            <v>643595</v>
          </cell>
        </row>
        <row r="783">
          <cell r="A783">
            <v>780</v>
          </cell>
          <cell r="B783" t="str">
            <v>010.000.5132.00</v>
          </cell>
          <cell r="E783" t="str">
            <v>Alantoina alquitrán de hulla y clioquinol. Crema Cada 100 gramos contienen: alantoina 0.2 g Solución de alquitrán de hulla 5.0 g Clioquinol 3.0 g Envase con 60 g.</v>
          </cell>
          <cell r="U783">
            <v>639</v>
          </cell>
          <cell r="V783">
            <v>1595</v>
          </cell>
        </row>
        <row r="784">
          <cell r="A784">
            <v>781</v>
          </cell>
          <cell r="B784" t="str">
            <v>010.000.5132.01</v>
          </cell>
          <cell r="E784" t="str">
            <v>ALANTOINA, ALQUITRAN DE HULLA Y CLIOQUINOL. CREMA. CADA 100 GRAMOS CONTIENEN:ALANTOINA 0.2 G. SOLUCION DE ALQUITRAN DE HULLA 5.0 G. CLIOQUINOL 3.0 G. ENVASECON 150 G.</v>
          </cell>
          <cell r="U784">
            <v>44500</v>
          </cell>
          <cell r="V784">
            <v>111248</v>
          </cell>
        </row>
        <row r="785">
          <cell r="A785">
            <v>782</v>
          </cell>
          <cell r="B785" t="str">
            <v>010.000.5140.01</v>
          </cell>
          <cell r="E785" t="str">
            <v>Tirotropina alfa. Solución Inyectable Cada frasco ámpula con liofilizado contiene: Tirotropina alfa 1.1 mg Envase con dos frascos ámpula</v>
          </cell>
          <cell r="U785">
            <v>1610</v>
          </cell>
          <cell r="V785">
            <v>4023</v>
          </cell>
        </row>
        <row r="786">
          <cell r="A786">
            <v>783</v>
          </cell>
          <cell r="B786" t="str">
            <v>010.000.5160.00</v>
          </cell>
          <cell r="E786" t="str">
            <v>Sevelámero. Comprimido Cada Comprimido contiene: Clorhidrato de Sevelámero 800 mg Envase con 180 Comprimidos</v>
          </cell>
          <cell r="U786">
            <v>29328</v>
          </cell>
          <cell r="V786">
            <v>73318</v>
          </cell>
        </row>
        <row r="787">
          <cell r="A787">
            <v>784</v>
          </cell>
          <cell r="B787" t="str">
            <v>010.000.5161.02</v>
          </cell>
          <cell r="E787" t="str">
            <v>CALCITONINA. SOLUCION INYECTABLE. CADA AMPOLLETA O FRASCO AMPULA CON SOLUCION OLIOFILIZADO CONTIENE: CALCITONINA SINTETICA DE SALMON 50 UI. ENVASE CON 12AMPOLLETAS O FRASCOS AMPULA CON DILUYENTE.</v>
          </cell>
          <cell r="U787">
            <v>353</v>
          </cell>
          <cell r="V787">
            <v>881</v>
          </cell>
        </row>
        <row r="788">
          <cell r="A788">
            <v>785</v>
          </cell>
          <cell r="B788" t="str">
            <v>010.000.5163.00</v>
          </cell>
          <cell r="E788" t="str">
            <v>SOMATROPINA. SOLUCIÓN INYECTABLE. CADA FRASCO ÁMPULA CON LIOFILIZADO CONTIENE: SOMATROPINA BIOSINTÉTICA 1.33 MG EQUIVALENTE A 4 UI. ENVASE CON FRASCO ÁMPULA Y FRASCO ÁMPULA O AMPOLLETA CON 1 Ó 2 ML DE DILUYENTE.</v>
          </cell>
          <cell r="U788">
            <v>553341</v>
          </cell>
          <cell r="V788">
            <v>1383351</v>
          </cell>
        </row>
        <row r="789">
          <cell r="A789">
            <v>786</v>
          </cell>
          <cell r="B789" t="str">
            <v>010.000.5164.01</v>
          </cell>
          <cell r="E789" t="str">
            <v>TESTOSTERONA. CÁPSULA CADA CÁPSULA CONTIENE: UNDECANOATO DE TESTOSTERONA 40 MG ENVASE CON 60 CÁPSULAS.</v>
          </cell>
          <cell r="U789">
            <v>668</v>
          </cell>
          <cell r="V789">
            <v>1667</v>
          </cell>
        </row>
        <row r="790">
          <cell r="A790">
            <v>787</v>
          </cell>
          <cell r="B790" t="str">
            <v>010.000.5165.00</v>
          </cell>
          <cell r="E790" t="str">
            <v>METFORMINA. TABLETA Cada tableta contiene: Clorhidrato de metformina 850 mg. Envase con 30 tabletas.</v>
          </cell>
          <cell r="U790">
            <v>42108474</v>
          </cell>
          <cell r="V790">
            <v>105271183</v>
          </cell>
        </row>
        <row r="791">
          <cell r="A791">
            <v>788</v>
          </cell>
          <cell r="B791" t="str">
            <v>010.000.5166.00</v>
          </cell>
          <cell r="E791" t="str">
            <v>ACARBOSA. TABLETA CADA TABLETA CONTIENE: ACARBOSA 50 MG ENVASE CON 30 TABLETAS.</v>
          </cell>
          <cell r="U791">
            <v>40355</v>
          </cell>
          <cell r="V791">
            <v>100884</v>
          </cell>
        </row>
        <row r="792">
          <cell r="A792">
            <v>789</v>
          </cell>
          <cell r="B792" t="str">
            <v>010.000.5167.00</v>
          </cell>
          <cell r="E792" t="str">
            <v>Somatropina. Solución Inyectable Cada cartucho con dos compartimientos uno con liofilizado contiene: Somatropina 5.3 mg equivalente a 16 UI y otro con el diluyente. Envase con un cartucho con dos compartimientos uno con liofilizado y otro con el diluyente.</v>
          </cell>
          <cell r="U792">
            <v>26172</v>
          </cell>
          <cell r="V792">
            <v>65430</v>
          </cell>
        </row>
        <row r="793">
          <cell r="A793">
            <v>790</v>
          </cell>
          <cell r="B793" t="str">
            <v>010.000.5169.00</v>
          </cell>
          <cell r="E793" t="str">
            <v>Desmopresina. Solución Inyectable. Cada ampolleta contiene: Acetato de Desmopresina 15 µg. Envase con 5 ampolletas con un ml.</v>
          </cell>
          <cell r="U793">
            <v>7899</v>
          </cell>
          <cell r="V793">
            <v>19745</v>
          </cell>
        </row>
        <row r="794">
          <cell r="A794">
            <v>791</v>
          </cell>
          <cell r="B794" t="str">
            <v>010.000.5171.02</v>
          </cell>
          <cell r="E794" t="str">
            <v>OCTREOTIDA. SUSPENSIÓN INYECTABLE. CADA FRASCO ÁMPULA CONTIENE: ACETATO DE OCTREOTIDA EQUIVALENTE A 20 MG DE OCTREOTIDA. ENVASE CON UN FRASCO ÁMPULA Y UNA JERINGA PRELLENADA CON 2 ML DE DILUYENTE.</v>
          </cell>
          <cell r="U794">
            <v>22674</v>
          </cell>
          <cell r="V794">
            <v>56684</v>
          </cell>
        </row>
        <row r="795">
          <cell r="A795">
            <v>792</v>
          </cell>
          <cell r="B795" t="str">
            <v>010.000.5174.01</v>
          </cell>
          <cell r="E795" t="str">
            <v>SOMATROPINA. SOLUCION INYECTABLE. CADA FRASCO AMPULA CON LIOFILIZADO CONTIENE:SOMATROPINA BIOSINTETICA 8 MG EQUIVALENTE A 24 UI. ENVASE CON UN FRASCO AMPULACON LIOFILIZADO Y AUTOINYECTOR MULTIDOSIS.</v>
          </cell>
          <cell r="U795">
            <v>2290</v>
          </cell>
          <cell r="V795">
            <v>5722</v>
          </cell>
        </row>
        <row r="796">
          <cell r="A796">
            <v>793</v>
          </cell>
          <cell r="B796" t="str">
            <v>010.000.5176.00</v>
          </cell>
          <cell r="E796" t="str">
            <v>Sucralfato. Tableta Cada Tableta contiene: Sucralfato 1 g Envase con 40 Tabletas.</v>
          </cell>
          <cell r="U796">
            <v>1654439</v>
          </cell>
          <cell r="V796">
            <v>4136095</v>
          </cell>
        </row>
        <row r="797">
          <cell r="A797">
            <v>794</v>
          </cell>
          <cell r="B797" t="str">
            <v>010.000.5181.00</v>
          </cell>
          <cell r="E797" t="str">
            <v>Octreotida. Solución Inyectable Cada frasco ámpula contiene: octreotida 1 mg Envase con un frasco ámpula con 5 ml.</v>
          </cell>
          <cell r="U797">
            <v>94928</v>
          </cell>
          <cell r="V797">
            <v>237318</v>
          </cell>
        </row>
        <row r="798">
          <cell r="A798">
            <v>795</v>
          </cell>
          <cell r="B798" t="str">
            <v>010.000.5186.01</v>
          </cell>
          <cell r="E798" t="str">
            <v>Pantoprazol o rabeprazol u omeprazol. Tableta o Gragea o Cápsula Cada Tableta o Gragea o Cápsula contiene: Pantoprazol 40 mg o Rabeprazol sódico 20 mg u omeprazol 20 mg Envase con 14 Tabletas o Grageas o Cápsulas</v>
          </cell>
          <cell r="U798">
            <v>5774560</v>
          </cell>
          <cell r="V798">
            <v>14436397</v>
          </cell>
        </row>
        <row r="799">
          <cell r="A799">
            <v>796</v>
          </cell>
          <cell r="B799" t="str">
            <v>010.000.5186.02</v>
          </cell>
          <cell r="E799" t="str">
            <v>Pantoprazol o rabeprazol u omeprazol. Tableta o Gragea o Cápsula Cada Tableta o Gragea o Cápsula contiene: Pantoprazol 40 mg o Rabeprazol sódico 20 mg u omeprazol 20 mg Envase con 28 Tabletas o Grageas o Cápsulas</v>
          </cell>
          <cell r="U799">
            <v>21982590</v>
          </cell>
          <cell r="V799">
            <v>54956473</v>
          </cell>
        </row>
        <row r="800">
          <cell r="A800">
            <v>797</v>
          </cell>
          <cell r="B800" t="str">
            <v>010.000.5187.00</v>
          </cell>
          <cell r="E800" t="str">
            <v>Omeprazol o pantoprazol. Solución Inyectable Cada frasco ámpula con liofilizado contiene: omeprazol sódico equivalente a 40 mg de omeprazol. o pantoprazol sódico equivalente a 40 mg de pantoprazol. Envase con un frasco ámpula con liofilizado y ampolleta con 10 ml de diluyente.</v>
          </cell>
          <cell r="U800">
            <v>12370538</v>
          </cell>
          <cell r="V800">
            <v>30926343</v>
          </cell>
        </row>
        <row r="801">
          <cell r="A801">
            <v>798</v>
          </cell>
          <cell r="B801" t="str">
            <v>010.000.5188.00</v>
          </cell>
          <cell r="E801" t="str">
            <v>Esomeprazol. Tableta Cada Tableta contiene: Esomeprazol magnésico trihidratado equivalente a 40 mg de esomeprazol Envase con 14 Tabletas</v>
          </cell>
          <cell r="U801">
            <v>542067</v>
          </cell>
          <cell r="V801">
            <v>1355166</v>
          </cell>
        </row>
        <row r="802">
          <cell r="A802">
            <v>799</v>
          </cell>
          <cell r="B802" t="str">
            <v>010.000.5191.00</v>
          </cell>
          <cell r="E802" t="str">
            <v>Terlipresina. Solución Inyectable Cada frasco ámpula o ampolleta con Solución contiene: Acetato de terlipresina 1 mg equivalente a 0.86 mg de terlipresina Envase con un frasco ámpula con liofilizado y una ampolleta con 5 ml de diluyente. Cada frasco ámpula con Solución contiene: Acetato de terlipresina 1 mg Equivalente a 0.85 mg de terlipresina</v>
          </cell>
          <cell r="U802">
            <v>57315</v>
          </cell>
          <cell r="V802">
            <v>143285</v>
          </cell>
        </row>
        <row r="803">
          <cell r="A803">
            <v>800</v>
          </cell>
          <cell r="B803" t="str">
            <v>010.000.5191.02</v>
          </cell>
          <cell r="E803" t="str">
            <v>Terlipresina. Solución Inyectable Cada frasco ámpula o ampolleta con Solución contiene: Acetato de terlipresina 1 mg equivalente a 0.86 mg de terlipresina Envase con 5 frascos ámpula o ampolleta con 8.5 ml</v>
          </cell>
          <cell r="U803">
            <v>126674</v>
          </cell>
          <cell r="V803">
            <v>316682</v>
          </cell>
        </row>
        <row r="804">
          <cell r="A804">
            <v>801</v>
          </cell>
          <cell r="B804" t="str">
            <v>010.000.5206.00</v>
          </cell>
          <cell r="E804" t="str">
            <v>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v>
          </cell>
          <cell r="U804">
            <v>360</v>
          </cell>
          <cell r="V804">
            <v>900</v>
          </cell>
        </row>
        <row r="805">
          <cell r="A805">
            <v>802</v>
          </cell>
          <cell r="B805" t="str">
            <v>010.000.5206.01</v>
          </cell>
          <cell r="E805" t="str">
            <v>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v>
          </cell>
          <cell r="U805">
            <v>23840</v>
          </cell>
          <cell r="V805">
            <v>59599</v>
          </cell>
        </row>
        <row r="806">
          <cell r="A806">
            <v>803</v>
          </cell>
          <cell r="B806" t="str">
            <v>010.000.5223.00</v>
          </cell>
          <cell r="E806" t="str">
            <v>Peginterferón alfa. Solución Inyectable Cada frasco ámpula ó jeringa ó pluma precargada contiene: Peginterferón alfa-2a 180 µg. Envase con un frasco ámpulade 1 ml.</v>
          </cell>
          <cell r="U806">
            <v>52</v>
          </cell>
          <cell r="V806">
            <v>128</v>
          </cell>
        </row>
        <row r="807">
          <cell r="A807">
            <v>804</v>
          </cell>
          <cell r="B807" t="str">
            <v>010.000.5223.02</v>
          </cell>
          <cell r="E807" t="str">
            <v>PEGINTERFERON ALFA SOLUCION INYECTABLE CADA PLUMA PRECARGADA CONTIENE:PEGINTERFERON ALFA-2A 180 MICROGRAMOS. ENVASE CON UNA PLUMA PRECARGADA DE 0.5ML.</v>
          </cell>
          <cell r="U807">
            <v>12907</v>
          </cell>
          <cell r="V807">
            <v>32264</v>
          </cell>
        </row>
        <row r="808">
          <cell r="A808">
            <v>805</v>
          </cell>
          <cell r="B808" t="str">
            <v>010.000.5224.00</v>
          </cell>
          <cell r="E808" t="str">
            <v>PEGINTERFERON ALFA. SOLUCION INYECTABLE. CADA PLUMA PRECARGADA CON LIOFILIZADOCONTIENE: PEGINTERFERON ALFA-2B 100 MICROGRAMOS. ENVASE CON UNA PLUMAPRECARGADA Y UN CARTUCHO CON 0.5 ML DE DILUYENTE.</v>
          </cell>
          <cell r="U808">
            <v>190</v>
          </cell>
          <cell r="V808">
            <v>473</v>
          </cell>
        </row>
        <row r="809">
          <cell r="A809">
            <v>806</v>
          </cell>
          <cell r="B809" t="str">
            <v>010.000.5229.00</v>
          </cell>
          <cell r="E809" t="str">
            <v>ACIDO ASCORBICO SOLUCION INYECTABLE CADA AMPOLLETA CONTIENE: ACIDO ASCORBICO 1G ENVASE CON 6 AMPOLLETAS DE 10 ML.</v>
          </cell>
          <cell r="U809">
            <v>44720</v>
          </cell>
          <cell r="V809">
            <v>111796</v>
          </cell>
        </row>
        <row r="810">
          <cell r="A810">
            <v>807</v>
          </cell>
          <cell r="B810" t="str">
            <v>010.000.5232.00</v>
          </cell>
          <cell r="E810" t="str">
            <v>Piridoxina. Tableta. Cada tableta contiene: Piridoxina 300 mg Envase con 10 Tabletas.</v>
          </cell>
          <cell r="U810">
            <v>68308</v>
          </cell>
          <cell r="V810">
            <v>170768</v>
          </cell>
        </row>
        <row r="811">
          <cell r="A811">
            <v>808</v>
          </cell>
          <cell r="B811" t="str">
            <v>010.000.5233.00</v>
          </cell>
          <cell r="E811" t="str">
            <v>Ácido folínico. Tableta Cada Tableta contiene: Folinato cálcico equivalente a 15 mg de ácido folínico Envase con 12 Tabletas.</v>
          </cell>
          <cell r="U811">
            <v>6987</v>
          </cell>
          <cell r="V811">
            <v>17465</v>
          </cell>
        </row>
        <row r="812">
          <cell r="A812">
            <v>809</v>
          </cell>
          <cell r="B812" t="str">
            <v>010.000.5236.00</v>
          </cell>
          <cell r="E812" t="str">
            <v>Ranibizumab. Solución Inyectable Cada frasco ámpula contiene: Ranibizumab 2.3 mg Envase con un frasco ámpula con 0.23 ml (2.3 mg/0.23 ml). Una aguja de filtro una aguja de inyección y una jeringuilla para inyección intravítrea.</v>
          </cell>
          <cell r="U812">
            <v>4487</v>
          </cell>
          <cell r="V812">
            <v>11215</v>
          </cell>
        </row>
        <row r="813">
          <cell r="A813">
            <v>810</v>
          </cell>
          <cell r="B813" t="str">
            <v>010.000.5236.01</v>
          </cell>
          <cell r="E813" t="str">
            <v>Ranibizumab. SOLUCIÓN INYECTABLE Cada Jeringa prellenada contiene: Ranibizumab 1.650mg. Caja con una jeringa prellenada con 10 mg/mL (1.65 mg/0.165 mL) y una aguja de inyección intravítrea. Todas las presentaciones con instructivo anexo.</v>
          </cell>
          <cell r="U813">
            <v>2503</v>
          </cell>
          <cell r="V813">
            <v>6256</v>
          </cell>
        </row>
        <row r="814">
          <cell r="A814">
            <v>811</v>
          </cell>
          <cell r="B814" t="str">
            <v>010.000.5237.00</v>
          </cell>
          <cell r="E814" t="str">
            <v>INTERFERÓN (BETA). SOLUCIÓN INYECTABLE. CADA FRASCO ÁMPULA O JERINGA PRELLENADA CONTIENE: INTERFERÓN BETA 1A 44 µG (12 MILLONES UI). ENVASE CON FRASCO ÁMPULA CON LIOFILIZADO Y AMPOLLETA CON 2 ML DE DILUYENTE.</v>
          </cell>
          <cell r="U814">
            <v>70</v>
          </cell>
          <cell r="V814">
            <v>175</v>
          </cell>
        </row>
        <row r="815">
          <cell r="A815">
            <v>812</v>
          </cell>
          <cell r="B815" t="str">
            <v>010.000.5237.01</v>
          </cell>
          <cell r="E815" t="str">
            <v>INTERFERON (BETA). SOLUCION INYECTABLE. CADA JERINGA PRELLENADA CONTIENE:INTERFERON BETA 1 A 44 MICROGRAMOS (12 MILLONES UI). ENVASE CON 12 JERINGASPRELLENADAS CON 0.5 ML CON AUTOINYECTOR NO ESTERIL DE INYECCION AUTOMATICA.</v>
          </cell>
          <cell r="U815">
            <v>274</v>
          </cell>
          <cell r="V815">
            <v>683</v>
          </cell>
        </row>
        <row r="816">
          <cell r="A816">
            <v>813</v>
          </cell>
          <cell r="B816" t="str">
            <v>010.000.5237.02</v>
          </cell>
          <cell r="E816" t="str">
            <v>Interferón (Beta). Solución Inyectable. Cada frasco ámpula o jeringa prellenada contiene: Interferón beta 1a 44 µg (12 millones UI). Envase con jeringa prellenada con 0.5 ml.</v>
          </cell>
          <cell r="U816">
            <v>448</v>
          </cell>
          <cell r="V816">
            <v>1118</v>
          </cell>
        </row>
        <row r="817">
          <cell r="A817">
            <v>814</v>
          </cell>
          <cell r="B817" t="str">
            <v>010.000.5237.03</v>
          </cell>
          <cell r="E817" t="str">
            <v>INTERFERÓN (BETA). SOLUCIÓN INYECTABLE. CADA FRASCO ÁMPULA O JERINGA PRELLENADA CONTIENE: INTERFERÓN BETA 1A 44 µG (12 MILLONES UI). ENVASE CON CARTUCHO PRELLENADO DE 1.5 ML (3 DOSIS DE 44 µG/0.5 ML) PARA ADMINISTRARSE EN DISPOSITIVO AUTOINYECTOR.</v>
          </cell>
          <cell r="U817">
            <v>15618</v>
          </cell>
          <cell r="V817">
            <v>39045</v>
          </cell>
        </row>
        <row r="818">
          <cell r="A818">
            <v>815</v>
          </cell>
          <cell r="B818" t="str">
            <v>010.000.5238.00</v>
          </cell>
          <cell r="E818" t="str">
            <v>FACTOR IX. SOLUCIÓN INYECTABLE CADA FRASCO ÁMPULA CON LIOFILIZADO CONTIENE: FACTOR IX 400 A 600 UI ENVASE CON UN FRASCO ÁMPULA Y DILUYENTE.</v>
          </cell>
          <cell r="U818">
            <v>32619</v>
          </cell>
          <cell r="V818">
            <v>81546</v>
          </cell>
        </row>
        <row r="819">
          <cell r="A819">
            <v>816</v>
          </cell>
          <cell r="B819" t="str">
            <v>010.000.5240.00</v>
          </cell>
          <cell r="E819" t="str">
            <v>Inmunoglobulina g no modificada. Solución Inyectable Cada frasco ámpula con liofilizado o Solución contienen: Inmunoglobulina G no modificada 6 g Envase con un frasco ámpula con 120 ml.</v>
          </cell>
          <cell r="U819">
            <v>115085</v>
          </cell>
          <cell r="V819">
            <v>287709</v>
          </cell>
        </row>
        <row r="820">
          <cell r="A820">
            <v>817</v>
          </cell>
          <cell r="B820" t="str">
            <v>010.000.5244.00</v>
          </cell>
          <cell r="E820" t="str">
            <v>INMUNOGLOBULINA G NO MODIFICADA. SOLUCION INYECTABLE CADA FRASCO AMPULACONTIENE: INMUNOGLOBULINA G NO. MODIFICADA 5 G. ENVASE CON UN FRASCO AMPULA CON100 ML.</v>
          </cell>
          <cell r="U820">
            <v>53988</v>
          </cell>
          <cell r="V820">
            <v>134966</v>
          </cell>
        </row>
        <row r="821">
          <cell r="A821">
            <v>818</v>
          </cell>
          <cell r="B821" t="str">
            <v>010.000.5245.00</v>
          </cell>
          <cell r="E821" t="str">
            <v>INTERFERON. SOLUCION INYECTABLE. CADA FRASCO AMPULA O JERINGA CONTIENE:INTERFERON ALFA 2A 4.5 O 9 MILLONES UI. ENVASE CON UN FRASCO AMPULA O JERINGACON UNA AGUJA. O CADA FRASCO AMPULA CONTIENE: INTERFERON ALFA 2B 5, 18 O 25MILLONES UI.</v>
          </cell>
          <cell r="U821">
            <v>4984</v>
          </cell>
          <cell r="V821">
            <v>12460</v>
          </cell>
        </row>
        <row r="822">
          <cell r="A822">
            <v>819</v>
          </cell>
          <cell r="B822" t="str">
            <v>010.000.5245.01</v>
          </cell>
          <cell r="E822" t="str">
            <v>INTERFERÓN. SOLUCIÓN INYECTABLE CADA FRASCO ÁMPULA O JERINGA CONTIENE: INTERFERÓN ALFA 2A 4.5 Ó 9 MILLONES UI ENVASE CON UN FRASCO ÁMPULA CON O SIN AMPOLLETA CON DILUYENTE.</v>
          </cell>
          <cell r="U822">
            <v>50</v>
          </cell>
          <cell r="V822">
            <v>125</v>
          </cell>
        </row>
        <row r="823">
          <cell r="A823">
            <v>820</v>
          </cell>
          <cell r="B823" t="str">
            <v>010.000.5250.01</v>
          </cell>
          <cell r="E823" t="str">
            <v>INTERFERÓN (BETA). SOLUCIÓN INYECTABLE EL FRASCO ÁMPULA CON LIOFILIZADO CONTIENE: INTERFERÓN BETA 1B RECOMBINANTE HUMANO 8 MILLONES UI Ó INTERFERON BETA 1B 8 MILLONES UI ENVASE CON 15 FRASCOS ÁMPULA CON LIOFILIZADO Y 15 JERINGAS. PRECARGADAS CON 1.2 ML DE DILUYENTE.</v>
          </cell>
          <cell r="U823">
            <v>13879</v>
          </cell>
          <cell r="V823">
            <v>34697</v>
          </cell>
        </row>
        <row r="824">
          <cell r="A824">
            <v>821</v>
          </cell>
          <cell r="B824" t="str">
            <v>010.000.5250.02</v>
          </cell>
          <cell r="E824" t="str">
            <v>INTERFERÓN (BETA). SOLUCIÓN INYECTABLE EL FRASCO ÁMPULA CON LIOFILIZADO CONTIENE: INTERFERÓN BETA 1B RECOMBINANTE HUMANO 8 MILLONES UI Ó INTERFERON BETA 1B 8 MILLONES UI ENVASE CON 1 FRASCO ÁMPULA CON LIOFILIZADO Y 1 JERINGA PRECARGADA CON 1.2 ML DE DILUYENTE.</v>
          </cell>
          <cell r="U824">
            <v>120</v>
          </cell>
          <cell r="V824">
            <v>300</v>
          </cell>
        </row>
        <row r="825">
          <cell r="A825">
            <v>822</v>
          </cell>
          <cell r="B825" t="str">
            <v>010.000.5251.00</v>
          </cell>
          <cell r="E825" t="str">
            <v>INTERFERÓN (BETA). SOLUCIÓN INYECTABLE CADA FRASCO ÁMPULA CON LIOFILIZADO O CADA JERINGA PRELLENADA CONTIENE: INTERFERÓN BETA 1A 6 MILLONES UI (30µG) ENVASE CON UN FRASCO ÁMPULA CON DISPOSITIVO MÉDICO Y UNA JERINGA CON 1 ML DE DILUYENTE O UNA JERINGA PRELLENADA CON 0.5 ML Y AGUJA.</v>
          </cell>
          <cell r="U825">
            <v>2596</v>
          </cell>
          <cell r="V825">
            <v>6489</v>
          </cell>
        </row>
        <row r="826">
          <cell r="A826">
            <v>823</v>
          </cell>
          <cell r="B826" t="str">
            <v>010.000.5254.01</v>
          </cell>
          <cell r="E826" t="str">
            <v>INTERFERÓN (BETA). SOLUCIÓN INYECTABLE CADA ENVASE CONTIENE: INTERFERÓN BETA 1A 22 µG (6 MILLONES UI). ENVASE CON CARTUCHO PRELLENADO DE 1.5 ML (3 DOSIS DE 22 µG/0.5 ML) PARA ADMINISTRARSE EN DISPOSITIVO AUTOINYECTOR.</v>
          </cell>
          <cell r="U826">
            <v>3760</v>
          </cell>
          <cell r="V826">
            <v>9400</v>
          </cell>
        </row>
        <row r="827">
          <cell r="A827">
            <v>824</v>
          </cell>
          <cell r="B827" t="str">
            <v>010.000.5255.00</v>
          </cell>
          <cell r="E827" t="str">
            <v>Trimetoprima y sulfametoxazol. Solución Inyectable Cada ampolleta contiene: Trimetoprima 160 mg Sulfametoxazol 800 mg Envase con 6 ampolletas con 3 ml.</v>
          </cell>
          <cell r="U827">
            <v>127739</v>
          </cell>
          <cell r="V827">
            <v>319347</v>
          </cell>
        </row>
        <row r="828">
          <cell r="A828">
            <v>825</v>
          </cell>
          <cell r="B828" t="str">
            <v>010.000.5256.00</v>
          </cell>
          <cell r="E828" t="str">
            <v>Cefalotina. Solución Inyectable. Cada frasco ámpula con polvo contiene: Cefalotina sódica equivalente a 1 g de cefalotina. Envase con un frasco ámpula y 5 ml de diluyente.</v>
          </cell>
          <cell r="U828">
            <v>1704877</v>
          </cell>
          <cell r="V828">
            <v>4262190</v>
          </cell>
        </row>
        <row r="829">
          <cell r="A829">
            <v>826</v>
          </cell>
          <cell r="B829" t="str">
            <v>010.000.5257.00</v>
          </cell>
          <cell r="E829" t="str">
            <v>NATALIZUMAB. SOLUCIÓN INYECTABLE CADA FRASCO ÁMPULA CONTIENE: NATALIZUMAB 300 MG ENVASE CON FRASCO ÁMPULA CON 300 MG.</v>
          </cell>
          <cell r="U829">
            <v>7294</v>
          </cell>
          <cell r="V829">
            <v>18234</v>
          </cell>
        </row>
        <row r="830">
          <cell r="A830">
            <v>827</v>
          </cell>
          <cell r="B830" t="str">
            <v>010.000.5259.00</v>
          </cell>
          <cell r="E830" t="str">
            <v>Nevirapina. Suspensión Cada 100 mililitros contienen: Nevirapina hemihidratada equivalente a 1 g de nevirapina Envase con 240 ml con dosificador.</v>
          </cell>
          <cell r="U830">
            <v>1268</v>
          </cell>
          <cell r="V830">
            <v>3170</v>
          </cell>
        </row>
        <row r="831">
          <cell r="A831">
            <v>828</v>
          </cell>
          <cell r="B831" t="str">
            <v>010.000.5261.00</v>
          </cell>
          <cell r="E831" t="str">
            <v>Pirimetamina. Tableta Cada Tableta contiene: Pirimetamina 25 mg Envase con 30 Tabletas.</v>
          </cell>
          <cell r="U831">
            <v>8420</v>
          </cell>
          <cell r="V831">
            <v>21048</v>
          </cell>
        </row>
        <row r="832">
          <cell r="A832">
            <v>829</v>
          </cell>
          <cell r="B832" t="str">
            <v>010.000.5264.00</v>
          </cell>
          <cell r="E832" t="str">
            <v>CEFUROXIMA. SOLUCIÓN O SUSPENSIÓN INYECTABLE. CADA FRASCO ÁMPULA CON POLVO CONTIENE: CEFUROXIMA SÓDICA EQUIVALENTE A 750 MG DE CEFUROXIMA. ENVASE CON UN FRASCO ÁMPULA Y ENVASE CON 3 ML DE DILUYENTE.</v>
          </cell>
          <cell r="U832">
            <v>104171</v>
          </cell>
          <cell r="V832">
            <v>260425</v>
          </cell>
        </row>
        <row r="833">
          <cell r="A833">
            <v>830</v>
          </cell>
          <cell r="B833" t="str">
            <v>010.000.5264.01</v>
          </cell>
          <cell r="E833" t="str">
            <v>Cefuroxima. Solución o Suspensión Inyectable. Cada frasco ámpula con polvo contiene: Cefuroxima sódica equivalente a 750 mg de cefuroxima. Envase con un frasco ámpula y envase con 5 ml de diluyente</v>
          </cell>
          <cell r="U833">
            <v>120984</v>
          </cell>
          <cell r="V833">
            <v>302458</v>
          </cell>
        </row>
        <row r="834">
          <cell r="A834">
            <v>831</v>
          </cell>
          <cell r="B834" t="str">
            <v>010.000.5265.00</v>
          </cell>
          <cell r="E834" t="str">
            <v>Imipenem y cilastatina. Solución Inyectable Cada frasco ámpula con polvo contiene: Imipenem monohidratado equivalente a 500 mg de imipenem. Cilastatina sódica equivalente a 500 mg de cilastatina. Envase con un frasco ámpula</v>
          </cell>
          <cell r="U834">
            <v>164916</v>
          </cell>
          <cell r="V834">
            <v>412287</v>
          </cell>
        </row>
        <row r="835">
          <cell r="A835">
            <v>832</v>
          </cell>
          <cell r="B835" t="str">
            <v>010.000.5265.01</v>
          </cell>
          <cell r="E835" t="str">
            <v>Imipenem y cilastatina. Solución Inyectable Cada frasco ámpula con polvo contiene: Imipenem monohidratado equivalente a 500 mg de imipenem. Cilastatina sódica equivalente a 500 mg de cilastatina. Envase con 25 frascos ámpula</v>
          </cell>
          <cell r="U835">
            <v>560076</v>
          </cell>
          <cell r="V835">
            <v>1400188</v>
          </cell>
        </row>
        <row r="836">
          <cell r="A836">
            <v>833</v>
          </cell>
          <cell r="B836" t="str">
            <v>010.000.5267.00</v>
          </cell>
          <cell r="E836" t="str">
            <v>Fluconazol. Cápsula o Tableta Cada Cápsula o Tableta contiene: Fluconazol 100 mg Envase con 10 Cápsulas o Tabletas.</v>
          </cell>
          <cell r="U836">
            <v>542015</v>
          </cell>
          <cell r="V836">
            <v>1355035</v>
          </cell>
        </row>
        <row r="837">
          <cell r="A837">
            <v>834</v>
          </cell>
          <cell r="B837" t="str">
            <v>010.000.5268.00</v>
          </cell>
          <cell r="E837" t="str">
            <v>Ganciclovir. Solución Inyectable. Cada frasco ámpula con liofilizado contiene: Ganciclovir sódico equivalente a 500 mg de ganciclovir. Envase con un frasco ámpula y una ampolleta con 10 ml de diluyente.</v>
          </cell>
          <cell r="U837">
            <v>28612</v>
          </cell>
          <cell r="V837">
            <v>71529</v>
          </cell>
        </row>
        <row r="838">
          <cell r="A838">
            <v>835</v>
          </cell>
          <cell r="B838" t="str">
            <v>010.000.5273.00</v>
          </cell>
          <cell r="E838" t="str">
            <v>Zidovudina. Solución Oral Cada 100 ml contienen: Zidovudina 1 g Envase con 240 ml.</v>
          </cell>
          <cell r="U838">
            <v>16268</v>
          </cell>
          <cell r="V838">
            <v>40668</v>
          </cell>
        </row>
        <row r="839">
          <cell r="A839">
            <v>836</v>
          </cell>
          <cell r="B839" t="str">
            <v>010.000.5274.00</v>
          </cell>
          <cell r="E839" t="str">
            <v>ZIDOVUDINA CAPSULA CADA CAPSULA CONTIENE: ZIDOVUDINA 250 MG ENVASE CON 30CAPSULAS.</v>
          </cell>
          <cell r="U839">
            <v>147</v>
          </cell>
          <cell r="V839">
            <v>365</v>
          </cell>
        </row>
        <row r="840">
          <cell r="A840">
            <v>837</v>
          </cell>
          <cell r="B840" t="str">
            <v>010.000.5278.00</v>
          </cell>
          <cell r="E840" t="str">
            <v>Teicoplanina. Solución Inyectable Cada frasco ámpula con polvo contiene: Teicoplanina 200 mg Envase con un frasco ámpula y diluyente con 3 ml.</v>
          </cell>
          <cell r="U840">
            <v>3702</v>
          </cell>
          <cell r="V840">
            <v>9253</v>
          </cell>
        </row>
        <row r="841">
          <cell r="A841">
            <v>838</v>
          </cell>
          <cell r="B841" t="str">
            <v>010.000.5280.00</v>
          </cell>
          <cell r="E841" t="str">
            <v>Raltegravir. Comprimido Cada Comprimido contiene: Raltegravir potásico equivalente a 400 mg de raltegravir Envase con 60 Comprimidos.</v>
          </cell>
          <cell r="U841">
            <v>14988</v>
          </cell>
          <cell r="V841">
            <v>37468</v>
          </cell>
        </row>
        <row r="842">
          <cell r="A842">
            <v>839</v>
          </cell>
          <cell r="B842" t="str">
            <v>010.000.5282.01</v>
          </cell>
          <cell r="E842" t="str">
            <v>Lamivudina. Tableta Cada Tableta contiene: Lamivudina 150 mg Envase con 60 Tabletas.</v>
          </cell>
          <cell r="U842">
            <v>3257</v>
          </cell>
          <cell r="V842">
            <v>8140</v>
          </cell>
        </row>
        <row r="843">
          <cell r="A843">
            <v>840</v>
          </cell>
          <cell r="B843" t="str">
            <v>010.000.5284.00</v>
          </cell>
          <cell r="E843" t="str">
            <v>Cefepima. Solución Inyectable. El frasco ámpula contiene: Clorhidrato monohidratado de cefepima equivalente a 500 mg de cefepima. Envase con un frasco ámpula y ampolleta con 5 ml de diluyente.</v>
          </cell>
          <cell r="U843">
            <v>249518</v>
          </cell>
          <cell r="V843">
            <v>623791</v>
          </cell>
        </row>
        <row r="844">
          <cell r="A844">
            <v>841</v>
          </cell>
          <cell r="B844" t="str">
            <v>010.000.5288.00</v>
          </cell>
          <cell r="E844" t="str">
            <v>Lopinavir-ritonavir. Tableta Cada Tableta contiene: Lopinavir 200 mg Ritonavir 50 mg Envase con 120 Tabletas.</v>
          </cell>
          <cell r="U844">
            <v>5007</v>
          </cell>
          <cell r="V844">
            <v>12515</v>
          </cell>
        </row>
        <row r="845">
          <cell r="A845">
            <v>842</v>
          </cell>
          <cell r="B845" t="str">
            <v>010.000.5291.00</v>
          </cell>
          <cell r="E845" t="str">
            <v>Meropenem. Solución Inyectable Cada frasco ámpula con polvo contiene: Meropenem trihidratado equivalente a 500 mg de meropenem. Envase con 1 frasco ámpula.</v>
          </cell>
          <cell r="U845">
            <v>940402</v>
          </cell>
          <cell r="V845">
            <v>2351004</v>
          </cell>
        </row>
        <row r="846">
          <cell r="A846">
            <v>843</v>
          </cell>
          <cell r="B846" t="str">
            <v>010.000.5292.00</v>
          </cell>
          <cell r="E846" t="str">
            <v>Meropenem. Solución Inyectable Cada frasco ámpula con polvo contiene: Meropenem trihidratado equivalente a 1 g de meropenem. Envase con 1 frasco ámpula.</v>
          </cell>
          <cell r="U846">
            <v>4063225</v>
          </cell>
          <cell r="V846">
            <v>10158060</v>
          </cell>
        </row>
        <row r="847">
          <cell r="A847">
            <v>844</v>
          </cell>
          <cell r="B847" t="str">
            <v>010.000.5295.01</v>
          </cell>
          <cell r="E847" t="str">
            <v>Cefepima. Solución Inyectable. Cada frasco ámpula contiene: Clorhidrato monohidratado de cefepima equivalente a 1 g de cefepima. Envase con un frasco ámpula y ampolleta con 10 ml de diluyente.</v>
          </cell>
          <cell r="U847">
            <v>697114</v>
          </cell>
          <cell r="V847">
            <v>1742782</v>
          </cell>
        </row>
        <row r="848">
          <cell r="A848">
            <v>845</v>
          </cell>
          <cell r="B848" t="str">
            <v>010.000.5304.00</v>
          </cell>
          <cell r="E848" t="str">
            <v>Alfa cetoanálogos de aminoácidos. Gragea Tableta Recubierta o Tableta. Cada Gragea tableta recubierta o tableta contiene: Alfa cetoanálogos de Aminoácidos 630 mg Envase con 100 grageas tabletas recubiertas o tabletas.</v>
          </cell>
          <cell r="U848">
            <v>1167076</v>
          </cell>
          <cell r="V848">
            <v>2917687</v>
          </cell>
        </row>
        <row r="849">
          <cell r="A849">
            <v>846</v>
          </cell>
          <cell r="B849" t="str">
            <v>010.000.5306.00</v>
          </cell>
          <cell r="E849" t="str">
            <v>Ácido micofenólico. Comprimido Cada Comprimido contiene: Micofenolato de mofetilo 500 mg Envase con 50 Comprimidos</v>
          </cell>
          <cell r="U849">
            <v>752153</v>
          </cell>
          <cell r="V849">
            <v>1880380</v>
          </cell>
        </row>
        <row r="850">
          <cell r="A850">
            <v>847</v>
          </cell>
          <cell r="B850" t="str">
            <v>010.000.5309.00</v>
          </cell>
          <cell r="E850" t="str">
            <v>Tamsulosina. Cápsula o Tableta de liberación prolongada. Cada cápsula o tableta de liberación prolongada contiene: Clorhidrato detamsulosina 0.4 mg. Envase con 10 cápsulas o tabletas de liberación prolongada.</v>
          </cell>
          <cell r="U850">
            <v>6806</v>
          </cell>
          <cell r="V850">
            <v>17013</v>
          </cell>
        </row>
        <row r="851">
          <cell r="A851">
            <v>848</v>
          </cell>
          <cell r="B851" t="str">
            <v>010.000.5309.01</v>
          </cell>
          <cell r="E851" t="str">
            <v>TAMSULOSINA. CÁPSULA O TABLETA DE LIBERACIÓN PROLONGADA. CADA CÁPSULA O TABLETA DE LIBERACIÓN PROLONGADA CONTIENE: CLORHIDRATO DE TAMSULOSINA 0.4 MG. ENVASE CON 20 CÁPSULAS O TABLETAS DE LIBERACIÓN PROLONGADA.</v>
          </cell>
          <cell r="U851">
            <v>108501</v>
          </cell>
          <cell r="V851">
            <v>271251</v>
          </cell>
        </row>
        <row r="852">
          <cell r="A852">
            <v>849</v>
          </cell>
          <cell r="B852" t="str">
            <v>010.000.5309.02</v>
          </cell>
          <cell r="E852" t="str">
            <v>Tamsulosina. Cápsula o Tableta de liberación prolongada. Cada cápsula o tableta de liberación prolongada contiene: Clorhidrato detamsulosina 0.4 mg. Envase con 30 cápsulas o tabletas de liberación prolongada.</v>
          </cell>
          <cell r="U852">
            <v>4969568</v>
          </cell>
          <cell r="V852">
            <v>12423918</v>
          </cell>
        </row>
        <row r="853">
          <cell r="A853">
            <v>850</v>
          </cell>
          <cell r="B853" t="str">
            <v>010.000.5313.00</v>
          </cell>
          <cell r="E853" t="str">
            <v>Caspofungina. Solución Inyectable. Cada frasco ámpula con polvo contiene: Acetato de caspofungina equivalente a 50 mg de caspofungina. Envase con frasco ámpula con polvo para 10.5 ml (5 mg/ml).</v>
          </cell>
          <cell r="U853">
            <v>79099</v>
          </cell>
          <cell r="V853">
            <v>197744</v>
          </cell>
        </row>
        <row r="854">
          <cell r="A854">
            <v>851</v>
          </cell>
          <cell r="B854" t="str">
            <v>010.000.5314.00</v>
          </cell>
          <cell r="E854" t="str">
            <v>Caspofungina. Solución Inyectable. Cada frasco ámpula con polvo contiene: Acetato de caspofungina equivalente a 70 mg de caspofungina. Envase con frasco ámpula con polvo para 10.5 ml (7 mg/ml).</v>
          </cell>
          <cell r="U854">
            <v>12193</v>
          </cell>
          <cell r="V854">
            <v>30481</v>
          </cell>
        </row>
        <row r="855">
          <cell r="A855">
            <v>852</v>
          </cell>
          <cell r="B855" t="str">
            <v>010.000.5315.00</v>
          </cell>
          <cell r="E855" t="str">
            <v>Voriconazol. Solución Inyectable Cada frasco ámpula con liofilizado contiene: Voriconazol 200 mg Envase con un frasco ámpula con liofilizado.</v>
          </cell>
          <cell r="U855">
            <v>50270</v>
          </cell>
          <cell r="V855">
            <v>125672</v>
          </cell>
        </row>
        <row r="856">
          <cell r="A856">
            <v>853</v>
          </cell>
          <cell r="B856" t="str">
            <v>010.000.5318.00</v>
          </cell>
          <cell r="E856" t="str">
            <v>Voriconazol. Tableta Cada Tableta contiene: Voriconazol 200 mg Envase con 14 Tabletas.</v>
          </cell>
          <cell r="U856">
            <v>17580</v>
          </cell>
          <cell r="V856">
            <v>43946</v>
          </cell>
        </row>
        <row r="857">
          <cell r="A857">
            <v>854</v>
          </cell>
          <cell r="B857" t="str">
            <v>010.000.5319.00</v>
          </cell>
          <cell r="E857" t="str">
            <v>DUTASTERIDA. CÁPSULA CADA CÁPSULA CONTIENE: DUTASTERIDA 0.5 MG ENVASE CON 30 CÁPSULAS.</v>
          </cell>
          <cell r="U857">
            <v>124002</v>
          </cell>
          <cell r="V857">
            <v>310002</v>
          </cell>
        </row>
        <row r="858">
          <cell r="A858">
            <v>855</v>
          </cell>
          <cell r="B858" t="str">
            <v>010.000.5319.01</v>
          </cell>
          <cell r="E858" t="str">
            <v>Dutasterida. Cápsula Cada Cápsula contiene: Dutasterida 0.5 mg Envase con 90 Cápsulas.</v>
          </cell>
          <cell r="U858">
            <v>1975</v>
          </cell>
          <cell r="V858">
            <v>4936</v>
          </cell>
        </row>
        <row r="859">
          <cell r="A859">
            <v>856</v>
          </cell>
          <cell r="B859" t="str">
            <v>010.000.5332.00</v>
          </cell>
          <cell r="E859" t="str">
            <v>Eritropoyetina. Solución Inyectable Cada frasco ámpula con liofilizado o Solución contiene: Eritropoyetina humana recombinante o Eritropoyetina alfa o Eritropoyetina beta 2000 UI Envase con 12 frascos ámpula 1 ml con o sin diluyente.</v>
          </cell>
          <cell r="U859">
            <v>512538</v>
          </cell>
          <cell r="V859">
            <v>1281343</v>
          </cell>
        </row>
        <row r="860">
          <cell r="A860">
            <v>857</v>
          </cell>
          <cell r="B860" t="str">
            <v>010.000.5333.00</v>
          </cell>
          <cell r="E860" t="str">
            <v>Eritropoyetina. Solución Inyectable Cada frasco ámpula con liofilizado o Solución contiene: Eritropoyetina humana recombinante o Eritropoyetina alfa o Eritropoyetina beta 4000 UI Envase con 6 frascos ámpula con o sin diluyente</v>
          </cell>
          <cell r="U860">
            <v>1173389</v>
          </cell>
          <cell r="V860">
            <v>2933471</v>
          </cell>
        </row>
        <row r="861">
          <cell r="A861">
            <v>858</v>
          </cell>
          <cell r="B861" t="str">
            <v>010.000.5333.01</v>
          </cell>
          <cell r="E861" t="str">
            <v>ERITROPOYETINA. SOLUCIÓN INYECTABLE CADA FRASCO ÁMPULA CON LIOFILIZADO O SOLUCIÓN CONTIENE: ERITROPOYETINA HUMANA RECOMBINANTE O ERITROPOYETINA ALFA O ERITROPOYETINA BETA 4000 UI ENVASE CON 1 JERINGA PRECARGADA</v>
          </cell>
          <cell r="U861">
            <v>243</v>
          </cell>
          <cell r="V861">
            <v>605</v>
          </cell>
        </row>
        <row r="862">
          <cell r="A862">
            <v>859</v>
          </cell>
          <cell r="B862" t="str">
            <v>010.000.5337.00</v>
          </cell>
          <cell r="E862" t="str">
            <v>Tobramicina. Solución Para Nebulizador Cada ampolleta contiene: Tobramicina 300 mg Envase con 14 sobres. Cada sobre con 4 ampolletas de 5 ml cada una.</v>
          </cell>
          <cell r="U862">
            <v>3941</v>
          </cell>
          <cell r="V862">
            <v>9852</v>
          </cell>
        </row>
        <row r="863">
          <cell r="A863">
            <v>860</v>
          </cell>
          <cell r="B863" t="str">
            <v>010.000.5338.00</v>
          </cell>
          <cell r="E863" t="str">
            <v>ERITROPOYETINA. SOLUCIÓN INYECTABLE CADA JERINGA PRECARGADA CONTIENE: ERITROPOYETINA BETA 6000 UI ENVASE CON 1 JERINGA PRECARGADA</v>
          </cell>
          <cell r="U863">
            <v>10</v>
          </cell>
          <cell r="V863">
            <v>23</v>
          </cell>
        </row>
        <row r="864">
          <cell r="A864">
            <v>861</v>
          </cell>
          <cell r="B864" t="str">
            <v>010.000.5338.01</v>
          </cell>
          <cell r="E864" t="str">
            <v>ERITROPOYETINA. SOLUCIÓN INYECTABLE CADA JERINGA PRECARGADA CONTIENE: ERITROPOYETINA BETA 6000 UI ENVASE CON 6 JERINGAS. PRECARGADAS</v>
          </cell>
          <cell r="U864">
            <v>4943</v>
          </cell>
          <cell r="V864">
            <v>12356</v>
          </cell>
        </row>
        <row r="865">
          <cell r="A865">
            <v>862</v>
          </cell>
          <cell r="B865" t="str">
            <v>010.000.5339.00</v>
          </cell>
          <cell r="E865" t="str">
            <v>Eritropoyetina. Solución Inyectable Cada frasco ámpula con liofilizado o solución contiene: Eritropoyetina beta o Eritropoyetina alfa 50 000 UI Envase con 1 frasco ámpula y 1 ampolleta con diluyente</v>
          </cell>
          <cell r="U865">
            <v>7326</v>
          </cell>
          <cell r="V865">
            <v>18313</v>
          </cell>
        </row>
        <row r="866">
          <cell r="A866">
            <v>863</v>
          </cell>
          <cell r="B866" t="str">
            <v>010.000.5339.01</v>
          </cell>
          <cell r="E866" t="str">
            <v>Eritropoyetina. Solución Inyectable Cada frasco ámpula con liofilizado o solución contiene: Eritropoyetina beta o Eritropoyetina alfa 50 000 UI. Envase con un frasco ámpula con 10 ml de solución.</v>
          </cell>
          <cell r="U866">
            <v>173834</v>
          </cell>
          <cell r="V866">
            <v>434584</v>
          </cell>
        </row>
        <row r="867">
          <cell r="A867">
            <v>864</v>
          </cell>
          <cell r="B867" t="str">
            <v>010.000.5341.00</v>
          </cell>
          <cell r="E867" t="str">
            <v>Antitrombina iii. Solución Inyectable El frasco ámpula con liofilizado contiene: Antitrombina III 1000 UI Envase con frasco ámpula y frasco ámpula con 20 ml de diluyente.</v>
          </cell>
          <cell r="U867">
            <v>2</v>
          </cell>
          <cell r="V867">
            <v>5</v>
          </cell>
        </row>
        <row r="868">
          <cell r="A868">
            <v>865</v>
          </cell>
          <cell r="B868" t="str">
            <v>010.000.5353.00</v>
          </cell>
          <cell r="E868" t="str">
            <v>FLUNARIZINA. CÁPSULA O TABLETA CADA CÁPSULA O TABLETA CONTIENE: FLUNARIZINA 5 MG ENVASE CON 20 CÁPSULAS O TABLETAS.</v>
          </cell>
          <cell r="U868">
            <v>862252</v>
          </cell>
          <cell r="V868">
            <v>2155628</v>
          </cell>
        </row>
        <row r="869">
          <cell r="A869">
            <v>866</v>
          </cell>
          <cell r="B869" t="str">
            <v>010.000.5354.00</v>
          </cell>
          <cell r="E869" t="str">
            <v>Nimodipino. Solución Inyectable Cada frasco ámpula contiene: Nimodipino 10 mg Envase con 1 frasco ámpula con 50 ml con o sin equipo perfusor de polietileno.</v>
          </cell>
          <cell r="U869">
            <v>84841</v>
          </cell>
          <cell r="V869">
            <v>212100</v>
          </cell>
        </row>
        <row r="870">
          <cell r="A870">
            <v>867</v>
          </cell>
          <cell r="B870" t="str">
            <v>010.000.5355.00</v>
          </cell>
          <cell r="E870" t="str">
            <v>VIGABATRINA. COMPRIMIDO CADA COMPRIMIDO CONTIENE: VIGABATRINA 500 MG ENVASE CON 60 COMPRIMIDOS.</v>
          </cell>
          <cell r="U870">
            <v>61739</v>
          </cell>
          <cell r="V870">
            <v>154347</v>
          </cell>
        </row>
        <row r="871">
          <cell r="A871">
            <v>868</v>
          </cell>
          <cell r="B871" t="str">
            <v>010.000.5356.00</v>
          </cell>
          <cell r="E871" t="str">
            <v>Lamotrigina. Tableta Cada Tableta contiene: Lamotrigina 100 mg Envase con 28 Tabletas.</v>
          </cell>
          <cell r="U871">
            <v>773605</v>
          </cell>
          <cell r="V871">
            <v>1934011</v>
          </cell>
        </row>
        <row r="872">
          <cell r="A872">
            <v>869</v>
          </cell>
          <cell r="B872" t="str">
            <v>010.000.5358.00</v>
          </cell>
          <cell r="E872" t="str">
            <v>LAMOTRIGINA. TABLETA CADA TABLETA CONTIENE: LAMOTRIGINA 25 MG ENVASE CON 28 TABLETAS.</v>
          </cell>
          <cell r="U872">
            <v>53020</v>
          </cell>
          <cell r="V872">
            <v>132546</v>
          </cell>
        </row>
        <row r="873">
          <cell r="A873">
            <v>870</v>
          </cell>
          <cell r="B873" t="str">
            <v>010.000.5359.00</v>
          </cell>
          <cell r="E873" t="str">
            <v>Valproato de magnesio. Tableta de Liberación Prolongada. Cada tableta contiene: Valproato de magnesio 600 mg Envase con 30 tabletas.</v>
          </cell>
          <cell r="U873">
            <v>981044</v>
          </cell>
          <cell r="V873">
            <v>2452607</v>
          </cell>
        </row>
        <row r="874">
          <cell r="A874">
            <v>871</v>
          </cell>
          <cell r="B874" t="str">
            <v>010.000.5363.00</v>
          </cell>
          <cell r="E874" t="str">
            <v>Topiramato. TabletaCada Tableta contiene:Topiramato 100 mgEnvase con 60 Tabletas.</v>
          </cell>
          <cell r="U874">
            <v>431992</v>
          </cell>
          <cell r="V874">
            <v>1079977</v>
          </cell>
        </row>
        <row r="875">
          <cell r="A875">
            <v>872</v>
          </cell>
          <cell r="B875" t="str">
            <v>010.000.5363.01</v>
          </cell>
          <cell r="E875" t="str">
            <v>Topiramato. TabletaCada Tableta contiene:Topiramato 100 mgEnvase con 100 Tabletas.</v>
          </cell>
          <cell r="U875">
            <v>95</v>
          </cell>
          <cell r="V875">
            <v>237</v>
          </cell>
        </row>
        <row r="876">
          <cell r="A876">
            <v>873</v>
          </cell>
          <cell r="B876" t="str">
            <v>010.000.5365.00</v>
          </cell>
          <cell r="E876" t="str">
            <v>Topiramato. Tableta Cada Tableta contiene:Topiramato 25 mgEnvase con 60 Tabletas.</v>
          </cell>
          <cell r="U876">
            <v>25280</v>
          </cell>
          <cell r="V876">
            <v>63198</v>
          </cell>
        </row>
        <row r="877">
          <cell r="A877">
            <v>874</v>
          </cell>
          <cell r="B877" t="str">
            <v>010.000.5365.01</v>
          </cell>
          <cell r="E877" t="str">
            <v>TOPIRAMATO TABLETA
  Cada tableta contiene:
  Topiramato 25 mg.
  Envase con 100 tabletas.</v>
          </cell>
          <cell r="U877">
            <v>53466</v>
          </cell>
          <cell r="V877">
            <v>133661</v>
          </cell>
        </row>
        <row r="878">
          <cell r="A878">
            <v>875</v>
          </cell>
          <cell r="B878" t="str">
            <v>010.000.5377.00</v>
          </cell>
          <cell r="E878" t="str">
            <v>CROMO. SOLUCIÓN INYECTABLE. CADA ML CONTIENE: CLORURO DE CROMO HEXAHIDRATADO EQUIVALENTE A 4.0 µG DE CROMO. ENVASE CON 25 AMPOLLETAS DE 3 ML O FRASCO ÁMPULA CON 10 ML.</v>
          </cell>
          <cell r="U878">
            <v>1026</v>
          </cell>
          <cell r="V878">
            <v>2563</v>
          </cell>
        </row>
        <row r="879">
          <cell r="A879">
            <v>876</v>
          </cell>
          <cell r="B879" t="str">
            <v>010.000.5377.01</v>
          </cell>
          <cell r="E879" t="str">
            <v>CROMO. SOLUCIÓN INYECTABLE CADA ML CONTIENE: CLORURO DE CROMO HEXAHIDRATADO EQUIVALENTE A 4.0 µG DE CROMO. ENVASE CON 25 AMPOLLETAS DE 3 ML O FRASCO ÁMPULA CON 30 ML.</v>
          </cell>
          <cell r="U879">
            <v>10</v>
          </cell>
          <cell r="V879">
            <v>25</v>
          </cell>
        </row>
        <row r="880">
          <cell r="A880">
            <v>877</v>
          </cell>
          <cell r="B880" t="str">
            <v>010.000.5378.00</v>
          </cell>
          <cell r="E880" t="str">
            <v>MANGANESO. SOLUCION INYECTABLE CADA AMPOLLETA CONTIENE: MANGANESO 924MICROGRAMOS. ENVASE CON 25 AMPOLLETAS DE 3 ML.</v>
          </cell>
          <cell r="U880">
            <v>188</v>
          </cell>
          <cell r="V880">
            <v>470</v>
          </cell>
        </row>
        <row r="881">
          <cell r="A881">
            <v>878</v>
          </cell>
          <cell r="B881" t="str">
            <v>010.000.5379.00</v>
          </cell>
          <cell r="E881" t="str">
            <v>Zinc. Solución Inyectable Cada ampolleta contiene: Sulfato de zinc heptahidratado Equivalente a 5 mg de zinc elemental. Envase con 25 ampolletas de 3 ml.</v>
          </cell>
          <cell r="U881">
            <v>2473</v>
          </cell>
          <cell r="V881">
            <v>6180</v>
          </cell>
        </row>
        <row r="882">
          <cell r="A882">
            <v>879</v>
          </cell>
          <cell r="B882" t="str">
            <v>010.000.5381.00</v>
          </cell>
          <cell r="E882" t="str">
            <v>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v>
          </cell>
          <cell r="U882">
            <v>14799</v>
          </cell>
          <cell r="V882">
            <v>36994</v>
          </cell>
        </row>
        <row r="883">
          <cell r="A883">
            <v>880</v>
          </cell>
          <cell r="B883" t="str">
            <v>010.000.5383.00</v>
          </cell>
          <cell r="E883" t="str">
            <v>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v>
          </cell>
          <cell r="U883">
            <v>1346444</v>
          </cell>
          <cell r="V883">
            <v>3366108</v>
          </cell>
        </row>
        <row r="884">
          <cell r="A884">
            <v>881</v>
          </cell>
          <cell r="B884" t="str">
            <v>010.000.5385.01</v>
          </cell>
          <cell r="E884" t="str">
            <v>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5 frascos ámpula y 5 ampolletas con 5 ml de diluyente.</v>
          </cell>
          <cell r="U884">
            <v>990</v>
          </cell>
          <cell r="V884">
            <v>2474</v>
          </cell>
        </row>
        <row r="885">
          <cell r="A885">
            <v>882</v>
          </cell>
          <cell r="B885" t="str">
            <v>010.000.5385.02</v>
          </cell>
          <cell r="E885" t="str">
            <v>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10 frascos ámpula y 10 ampolletas con 5 ml de diluyente.</v>
          </cell>
          <cell r="U885">
            <v>77560</v>
          </cell>
          <cell r="V885">
            <v>193896</v>
          </cell>
        </row>
        <row r="886">
          <cell r="A886">
            <v>883</v>
          </cell>
          <cell r="B886" t="str">
            <v>010.000.5388.01</v>
          </cell>
          <cell r="E886" t="str">
            <v>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1920 ml, con tres compartimentos (Glucosa 11%, 1180 ml, aminoácidos al 11% con electrolitos 400 ml y lípidos al 20% 340 ml).</v>
          </cell>
          <cell r="U886">
            <v>236</v>
          </cell>
          <cell r="V886">
            <v>590</v>
          </cell>
        </row>
        <row r="887">
          <cell r="A887">
            <v>884</v>
          </cell>
          <cell r="B887" t="str">
            <v>010.000.5389.00</v>
          </cell>
          <cell r="E887" t="str">
            <v>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2400 ml con tres compartimientos (Glucosa 11% 1475 ml Aminoácidos al 11% con electrolitos 500 ml y lípidos al 20% 425 ml).</v>
          </cell>
          <cell r="U887">
            <v>33909</v>
          </cell>
          <cell r="V887">
            <v>84771</v>
          </cell>
        </row>
        <row r="888">
          <cell r="A888">
            <v>885</v>
          </cell>
          <cell r="B888" t="str">
            <v>010.000.5392.00</v>
          </cell>
          <cell r="E888" t="str">
            <v>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v>
          </cell>
          <cell r="U888">
            <v>14378254</v>
          </cell>
          <cell r="V888">
            <v>35945632</v>
          </cell>
        </row>
        <row r="889">
          <cell r="A889">
            <v>886</v>
          </cell>
          <cell r="B889" t="str">
            <v>010.000.5395.00</v>
          </cell>
          <cell r="E889" t="str">
            <v>Tiamina. Solución Inyectable. Cada frasco ámpula con liofilizado contiene: Clorhidrato de tiamina 500 mg. Envase con 3 frascos ámpula.</v>
          </cell>
          <cell r="U889">
            <v>91557</v>
          </cell>
          <cell r="V889">
            <v>228889</v>
          </cell>
        </row>
        <row r="890">
          <cell r="A890">
            <v>887</v>
          </cell>
          <cell r="B890" t="str">
            <v>010.000.5397.00</v>
          </cell>
          <cell r="E890" t="str">
            <v xml:space="preserve">Formula o Dieta Inmunorreguladora. Polvo O Suspensión Oral Contenido: 100Ml Energía kcal Mínimo 100.00 Máximo 150.00 Proteínas g Mínimo 5.60 Máximo 9.63 Hidratos de carbono g Mínimo 12.00 Máximo 13.50 Lípidos g Mínimo 2.20 Máximo 6.80 Sodio mg Mínimo 58.00 Máximo 116.80 Potasio mg Mínimo 106.00 Máximo 187.20 Vitamina C mg Mínimo 6.00 Máximo 100.00 Tiamina mg Mínimo 0.07 Máximo 00.30 Riboflavina mg Mínimo 0.08 Máximo 0.25 Niacina mg Mínimo 1.00 Máximo 2.80 Calcio mg Mínimo 50.00 Máximo 100.00 Hierro mg Mínimo 0.90 Máximo 1.80 Vitamina D UI Mínimo 20.00 Máximo 40.00 Vitamina B6 mg Mínimo 0.14 Máximo 1.00 Acido fólico µg  Mínimo 20.00 Máximo 54.00 Vitamina B12 µg  Mínimo 0.30 Máximo 0.80 Fósforo mg Mínimo 50.00 Máximo 100.00 Yodo µg  Mínimo 7.60 Máximo 16.00 Magnesio mg Mínimo 20.00 Máximo 40.00 Cobre µg  Mínimo 0.20 Máximo 3.00 Biotina µg  Mínimo 15.00 Máximo 40.00 Acido pantoténico mg Mínimo 0.50 Máximo 1.40 Vitamina K µg  Mínimo 4.00 Máximo 40.00 Colina mg Mínimo 21.00 Máximo 50.00 Cloruro mg Mínimo 0.26 Máximo 174.00 Manganeso mg Mínimo 0.20 Máximo 0.40 Cromo µg  Mínimo 7.60 Máximo 14.00 Molibdeno µg  Mínimo 7.60 Máximo 22.00 Vitamina A UI Mínimo 266.00 Máximo 668.00 Retinol equivalente µg  Mínimo 79.90 Máximo 270.00 Vitamina E UI Mínimo 5.00 Máximo 10.00 Alfa Tocoferol mg Mínimo 4.03 Máximo 6.67 Zinc mg Mínimo 1.50 Máximo 3.60 Selenio µg  Mínimo 10.00 Máximo 10.00 Arginina mg Mínimo 1250 Máximo 1540 Histidina mg Mínimo 90.00 Máximo 216.00 Isoleucina mg Mínimo 235 Máximo 780 Leucina mg Mínimo 437.00 Máximo 1170.00 Lisina mg Mínimo 277.00 Máximo 620.00 Metionina mg Mínimo 100.00 Máximo 169.00 Cistina o cisteína mg Mínimo 12.00 Máximo 40.00 Fenilalanina mg Mínimo 184.00 Máximo 395.00 Tirosina mg Mínimo 166.00 Máximo 432.00 Treonina mg Mínimo 150.00 Máximo 338.00 Triptofano mg Mínimo 34.00 Máximo 85.00 Valina mg Mínimo 0.74 Máximo 946.00 Alanina mg Mínimo 100.00 Máximo 235.00 Acido aspártico mg Mínimo 100.00 Máximo 564.00 Glutamina mg Mínimo 595.00 Máximo 1490.00 Acido glutámico mg Mínimo 290.00 Máximo 1080.00 Glicina mg Mínimo 63.00 Máximo 196.00 Prolina mg Mínimo 90.00 Máximo 865.00 Serina mg Mínimo 166.00 Máximo 404.00 Relación omega 6/omega 3 Mínimo 1.3/1 Máximo 2.5/1 Osmolaridad mOsm/kg H2O Mínimo 375 Máximo 490 Presentación: Sobre con 123 g de polvo o lata con 250 ml.  </v>
          </cell>
          <cell r="U890">
            <v>14169</v>
          </cell>
          <cell r="V890">
            <v>35421</v>
          </cell>
        </row>
        <row r="891">
          <cell r="A891">
            <v>888</v>
          </cell>
          <cell r="B891" t="str">
            <v>010.000.5400.00</v>
          </cell>
          <cell r="E891" t="str">
            <v>Formula de Inicio libre de fenilalanina. Polvo contenido en: Energía Unidad kcal 100G Mínimo 470 Máximo 550 Proteína Unidad g 100G Mínimo 12.50 Máximo 17.00 Hidratos de carbono Unidad g 100G Mínimo 50.00 Máximo 60.00 Lípidos Unidad g 100G Mínimo 20.00 Máximo 26.00 L-Alanina Unidad g 100G Mínimo 0 Máximo 1.50 L-Arginina Unidad g 100G Mínimo 0 Máximo 1.50 L-Acido aspártico Unidad g 100G Mínimo 0 Máximo 1.50 L-Cistina Unidad g 100G Mínimo 0.10 Máximo 0.50 L-Acido glutámico Unidad g 100G Mínimo 0 Máximo 3.00 Glicina Unidad g 100G Mínimo 0 Máximo 1.00 L-Histidina Unidad g 100G Mínimo 0.20 Máximo 0.80 L-Isoleucina Unidad g 100G Mínimo 0.50 Máximo 1.50 L-Leucina Unidad g 100G Mínimo 1.50 Máximo 2.50 L-Lisina Unidad g 100G Mínimo 0.50 Máximo 1.50 L-Metionina Unidad g 100G Mínimo 0.10 Máximo 0.50 L-Fenilalanina Unidad g 100G Mínimo 0.00 Máximo 0.00 L-Prolina Unidad g 100G Mínimo 0 Máximo 1.50 L-Serina Unidad g 100G Mínimo 0 Máximo 1.00 L-Treonina Unidad g 100G Mínimo 0.50 Máximo 1.00 L-Triptófano Unidad g 100G Mínimo 0.10 Máximo 0.50 L-Tirosina Unidad g 100G Mínimo 1.00 Máximo 2.00 L-Valina Unidad g 100G Mínimo 1.00 Máximo 1.50 L-Carnitina Unidad g 100G Mínimo 0 Máximo 0.05 L-Taurina Unidad g 100G Mínimo 0.01 Máximo 0.05 L-Glutamina Unidad g 100G Mínimo 0 Máximo 0.20 Tiamina (B1) Unidad mg 100G Mínimo 0.20 Máximo 2.50 Riboflavina (B2) Unidad mg 100G Mínimo 0.40 Máximo 1.50 Niacina (B3) Unidad mg 100G Mínimo 4.00 Máximo 13.00 Piridoxina (B6) Unidad mg 100G Mínimo 0.30 Máximo 1.30 Cianocobalamina (B12) Unidad µg 100G Mínimo 1.00 Máximo 5.00 Acido fólico Unidad µg 100G Mínimo 30.00 Máximo 250.00 Acido pantoténico Unidad mg 100G Mínimo 2.50 Máximo 7.00 Acido ascórbico (Vit.C) Unidad mg 100G Mínimo 30.00 Máximo 70.00 Colina Unidad mg 100G Mínimo 40.00 Máximo 90.00 Biotina Unidad µg 100G Mínimo 20.00 Máximo 70.00 Inositol Unidad mg 100G Mínimo 30.00 Máximo 110.00 Vitamina A-retinol Unidad U.I. 100G Mínimo 1400 Máximo 1800 Vitamina D Unidad U.I. 100G Mínimo 300 Máximo 400 Vitamina E-alfa tocoferol Unidad U.I. 100G Mínimo 3 Máximo 12 Vitamina K Unidad µg 100G Mínimo 15.00 Máximo 55.00 Sodio Unidad mg 100G Mínimo 100.00 Máximo 250.00 Potasio Unidad mg 100G Mínimo 400.00 Máximo 700.00 Cloro Unidad mg 100G Mínimo 250.00 Máximo 350.00 Calcio Unidad mg 100G Mínimo 300.00 Máximo 700.00 Fósforo Unidad mg 100G Mínimo 200.00 Máximo 460.00 Magnesio Unidad mg 100G Mínimo 25.00 Máximo 70.00 Hierro Unidad mg 100G Mínimo 5.00 Máximo 12.00 Cobre Unidad mg 100G Mínimo 0.20 Máximo 1.50 Zinc Unidad mg 100G Mínimo 3.00 Máximo 10.00 Manganeso Unidad mg 100G Mínimo 0.20 Máximo 0.80 Yodo Unidad µg 100G Mínimo 40.00 Máximo 80.00 Molibdeno Unidad µg 100G Mínimo 10.00 Máximo 40.00 Selenio Unidad µg 100G Mínimo 12.00 Máximo 22.00 Cromo Unidad µg 100G Mínimo 10.00 Máximo 40.00 Envase: Lata o sobre. Con medida dosificadora</v>
          </cell>
          <cell r="U891">
            <v>6175</v>
          </cell>
          <cell r="V891">
            <v>15436</v>
          </cell>
        </row>
        <row r="892">
          <cell r="A892">
            <v>889</v>
          </cell>
          <cell r="B892" t="str">
            <v>010.000.5401.00</v>
          </cell>
          <cell r="E892" t="str">
            <v xml:space="preserve">Fórmula de seguimiento libre de fenilalanina, Polvo, Contenido en: Energía Unidades kcal Mínimo/100 g 300, Máximo/100 g 420; Proteína Unidades g Mínimo/100 g 20, Máximo/100 g 35; Hidratos de carbono Unidades g Mínimo/100 g 30, Máximo/100 g 65; Lípidos Unidades g Mínimo/100 g 0.1, Máximo/100 g 15; L-Alanina Unidades g Mínimo/100 g 0, Máximo/100 g 2; L-Arginina Unidades g Mínimo/100 g 0, Máximo/100 g 2.5; L-Acido aspártico Unidades g Mínimo/100 g 0, Máximo/100 g 2.5; L-Cistina Unidades g Mínimo/100 g 0.1, Máximo/100 g 1; L-Acido glutámico Unidades g Mínimo/100 g 0, Máximo/100 g 4; Glicina Unidades g Mínimo/100 g 0, Máximo/100 g 2.3; L-Histidina Unidades g Mínimo/100 g 0.3, Máximo/100 g 1.5; L-Isoleucina Unidades g Mínimo/100 g 1.3, Máximo/100 g 2.5; L-Leucina Unidades g Mínimo/100 g 2.5, Máximo/100 g 3.5; L-Lisina Unidades g Mínimo/100 g 1.5, Máximo/100 g 2.5; L-Metionina Unidades g Mínimo/100 g 0.3, Máximo/100 g 0.8; L-Fenilalanina Unidades g Mínimo/100 g 0, Máximo/100 g 0; L-Prolina Unidades g Mínimo/100 g 0, Máximo/100 g 2.5; L-Serina Unidades g Mínimo/100 g 0.5, Máximo/100 g 1.5; L-Treonina Unidades g Mínimo/100 g 0.8, Máximo/100 g 1.8; L-Triptófano Unidades g Mínimo/100 g 0.2, Máximo/100 g 0.8; L-Tirosina Unidades g Mínimo/100 g 2, Máximo/100 g 3.5; L-Valina Unidades g Mínimo/100 g 1.5, Máximo/100 g 2.6; L-Carnitina Unidades g Mínimo/100 g 0.01, Máximo/100 g 0.05; L-Taurina Unidades g Mínimo/100 g 0.05, Máximo/100 g 0.2; L-Glutamina Unidades g Mínimo/100 g 0.2, Máximo/100 g 0.5; Tiamina (B1) Unidades mg Mínimo/100 g 1, Máximo/100 g 3.5; Riboflavina (B2) Unidades mg Mínimo/100 g 1, Máximo/100 g 2; Niacina (B3) Unidades mg Mínimo/100 g 10, Máximo/100 g 25; Piridoxina (B6) Unidades mg Mínimo/100 g 0.8, Máximo/100 g 2; Cianocobalamina (B12) Unidades µg Mínimo/100 g 2, Máximo/100 g 6; Ácido fólico Unidades µg Mínimo/100 g 240, Máximo/100 g 500; Ácido pantoténico Unidades mg Mínimo/100 g 3.5, Máximo/100 g 8.5; Ácido ascórbico (Vit.C) Unidades mg Mínimo/100 g 45, Máximo/100 g 140; Colina Unidades mg Mínimo/100 g 90, Máximo/100 g 120; Biotina Unidades µg Mínimo/100 g 40, Máximo/100 g 130; Inositol Unidades mg Mínimo/100 g 40, Máximo/100 g 80; Vitamina A-retinol Unidades UI Mínimo/100 g 1 400, Máximo/100 g 1 800; Vitamina D Unidades UI Mínimo/100 g 200, Máximo/100 g 500; Vitamina E-alfa tocoferol Unidades UI Mínimo/100 g 4, Máximo/100 g 12.5; Vitamina K Unidades µg Mínimo/100 g 30, Máximo/100 g 60; Sodio Unidades mg Mínimo/100 g 550, Máximo/100 g 900; Potasio Unidades mg Mínimo/100 g 800, Máximo/100 g 1 500.00; Cloro Unidades mg Mínimo/100 g 400, Máximo/100 g 1 000.00; Calcio Unidades mg Mínimo/100 g 700, Máximo/100 g 910; Fósforo Unidades mg Mínimo/100 g 700, Máximo/100 g 850; Magnesio Unidades mg Mínimo/100 g 150, Máximo/100 g 250; Hierro Unidades mg Mínimo/100 g 10, Máximo/100 g 15; Cobre Unidades mg Mínimo/100 g 0.5, Máximo/100 g 2; Zinc Unidades mg Mínimo/100 g 10, Máximo/100 g 15; Manganeso Unidades mg Mínimo/100 g 0.05, Máximo/100 g 2; Yodo Unidades µg Mínimo/100 g 40, Máximo/100 g 110; Molibdeno Unidades µg Mínimo/100 g 20, Máximo/100 g 110; Selenio Unidades µg Mínimo/100 g 25, Máximo/100 g 45; Cromo Unidades µg Mínimo/100 g 25, Máximo/100 g 45; Envase: Lata o sobre. Con medida dosificadora.   </v>
          </cell>
          <cell r="U892">
            <v>24932</v>
          </cell>
          <cell r="V892">
            <v>62326</v>
          </cell>
        </row>
        <row r="893">
          <cell r="A893">
            <v>890</v>
          </cell>
          <cell r="B893" t="str">
            <v>010.000.5403.00</v>
          </cell>
          <cell r="E893" t="str">
            <v>ALIMENTO MÉDICO PARA PACIENTES CON TRASTORNO DEL CICLO DE LA UREA RECIEN NACIDOS A 7 AÑOS 11 MESES DE EDAD. POLVO. CADA 100G CONTIENE: ENERGÍA UNIDAD KCAL MÍNIMO 500.00 MÁXIMO 510.00 PROTEÍNA UNIDAD G MÍNIMO 6.50 MÁXIMO 7.50 HIDRATOS DE CARBONO UNIDAD G MÍNIMO 57.00 MÁXIMO 60.00 LÍPIDOS UNIDAD G MÍNIMO 24.60 MÁXIMO 26.00 L-ALANINA UNIDAD G MÍNIMO 0 MÁXIMO 0 L-ARGININA UNIDAD G MÍNIMO 0 MÁXIMO 0 L-ACIDO ASPÁRTICO UNIDAD G MÍNIMO 0 MÁXIMO 0 L-CISTINA UNIDAD G MÍNIMO 0.30 MÁXIMO 0.32 L-ACIDO GLUTÁMICO UNIDAD G MÍNIMO 0 MÁXIMO 0 GLICINA UNIDAD G MÍNIMO 0 MÁXIMO 0 L-HISTIDINA UNIDAD G MÍNIMO 0.36 MÁXIMO 0.44 L-ISOLEUCINA UNIDAD G MÍNIMO 0.99 MÁXIMO 1.28 L-LEUCINA UNIDAD G MÍNIMO 2.00 MÁXIMO 2.17 L-LISINA UNIDAD G MÍNIMO 1.11 MÁXIMO 1.24 L-METIONINA UNIDAD G MÍNIMO 0.25 MÁXIMO 0.34 L-FENILALANINA UNIDAD G MÍNIMO 0.67 MÁXIMO 0.75 L-TREONINA UNIDAD G MÍNIMO 0.75 MÁXIMO 0.85 L-TRIPTÓFANO UNIDAD G MÍNIMO 0.38 MÁXIMO 0.39 L-TIROSINA UNIDAD G MÍNIMO 0.80 MÁXIMO 0.88 L-VALINA UNIDAD G MÍNIMO 0.99 MÁXIMO 1.43 TIAMINA (B1) UNIDAD MG MÍNIMO 1.00 MÁXIMO 2.00 RIBOFLAVINA (B2) UNIDAD MG MÍNIMO 0.98 MÁXIMO 1.20 NIACINA (B3) UNIDAD µG MÍNIMO 10000.00 MÁXIMO 16700.00 PIRIDOXINA (B6) UNIDAD MG MÍNIMO 0.85 MÁXIMO 1.00 CIANOCOBALAMINA (B12) UNIDAD µG MÍNIMO 2.00 MÁXIMO 5.60 ACIDO FÓLICO UNIDAD µG MÍNIMO 100.00 MÁXIMO 250.00 ACIDO PANTOTÉNICO UNIDAD µG MÍNIMO 3.80 MÁXIMO 7.80 ACIDO ASCÓRBICO (VIT.C) UNIDAD MG MÍNIMO 55.00 MÁXIMO 60.00 COLINA UNIDAD MG MÍNIMO 60.00 MÁXIMO 100.00 BIOTINA UNIDAD µG MÍNIMO 38.00 MÁXIMO 75.00 INOSITOL UNIDAD MG MÍNIMO 50.00 MÁXIMO 86.00 VITAMINA A UNIDAD UI MÍNIMO 533.00 MÁXIMO 1600.00 VITAMINA D UNIDAD UI MÍNIMO 300.00 MÁXIMO 360.00 VITAMINA E UNIDAD UI MÍNIMO 10.00 MÁXIMO 17.01 VITAMINA K UNIDAD µG MÍNIMO 40.00 MÁXIMO 60.00 SODIO UNIDAD MG MÍNIMO 215.00 MÁXIMO 240.00 POTASIO UNIDAD MG MÍNIMO 560.00 MÁXIMO 790.00 CLORO UNIDAD MG MÍNIMO 390.00 MÁXIMO 420.00 CALCIO UNIDAD MG MÍNIMO 650.00 MÁXIMO 660.00 FÓSFORO UNIDAD MG MÍNIMO 440.00 MÁXIMO 455.00 MAGNESIO UNIDAD MG MÍNIMO 55.00 MÁXIMO 66.00 COBRE UNIDAD µG MÍNIMO 860.00 MÁXIMO 1250.00 ZINC UNIDAD MG MÍNIMO 8.60 MÁXIMO 9.50 MANGANESO UNIDAD µG MÍNIMO 380.00 MÁXIMO 500.00 YODO UNIDAD µG MÍNIMO 76.00 MÁXIMO 80.00 SELENIO UNIDAD µG MÍNIMO 14.10 MÁXIMO 25.00. ENVASE: LATA CON MEDIDA DOSIFICADORA.</v>
          </cell>
          <cell r="U893">
            <v>4401</v>
          </cell>
          <cell r="V893">
            <v>11001</v>
          </cell>
        </row>
        <row r="894">
          <cell r="A894">
            <v>891</v>
          </cell>
          <cell r="B894" t="str">
            <v>010.000.5404.00</v>
          </cell>
          <cell r="E894" t="str">
            <v>Alimento médico para pacientes con trastorno del ciclo de la urea de 8 Años o Mayores y Adultos. Polvo. Cada 100G contiene: Energía Unidad kcal Mínimo 360.00 Máximo 440.00 Proteína Unidad g Mínimo 8.20 Máximo 25.00 Hidratos de carbono Unidad g Mínimo 45.00 Máximo 71.00 Lípidos Unidad g Mínimo 0.00 Máximo 17.00 L-Alanina Unidad g Mínimo 0 Máximo 0 L-Arginina Unidad g Mínimo 0 Máximo 0 L-Acido aspártico Unidad g Mínimo 0 Máximo 0 L-Cistina Unidad g Mínimo 0.26 Máximo 1.20 L-Acido glutámico Unidad g Mínimo 0 Máximo 0 L-Histidina Unidad g Mínimo 0 Máximo 0.72 L-Isoleucina Unidad g Mínimo 0 Máximo 2.56 L-Leucina Unidad g Mínimo 1.20 Máximo 4.34 L-Lisina Unidad g Mínimo 1.57 Máximo 4.20 L-Metionina Unidad g Mínimo 0.31 Máximo 1.20 L-Fenilalanina Unidad g Mínimo 0.84 Máximo 1.80 L-Prolina Unidad g Mínimo 0 Máximo 0 L-Serina Unidad g Mínimo 0 Máximo 0 L-Treonina Unidad g Mínimo 1.07 Máximo 3.60 L-Triptófano Unidad g Mínimo 0.49 Máximo 0.75 L-Tirosina Unidad g Mínimo 1.01 Máximo 3.00 L-Valina Unidad g Mínimo 1.25 Máximo 4.62 Tiamina (B1) Unidad µg Mínimo 0 Máximo 4000.00 Riboflavina (B2) Unidad µg Mínimo 0 Máximo 2400.00 Niacina (B3) Unidad µg Mínimo 0 Máximo 30300.00 Piridoxina (B6) Unidad µg Mínimo 0 Máximo 1750.00 Cianocobalamina (B12) Unidad µg Mínimo 0 Máximo 7.30 Acido fólico Unidad µg Mínimo 0 Máximo 530.00 Acido pantoténico Unidad µg Mínimo 0 Máximo 10900.00 Acido ascórbico (vit.C) Unidad mg Mínimo 57.00 Máximo 125.00 Colina Unidad mg Mínimo 0 Máximo 130.00 Biotina Unidad µg Mínimo 0 Máximo 150.00 Inositol Unidad mg Mínimo 0 Máximo 110.00 Vitamina A Unidad UI Mínimo 0 Máximo 3026.00 Vitamina D Unidad UI Mínimo 0 Máximo 324.00 Vitamina E Unidad UI Mínimo 0 Máximo 27.70 Vitamina K Unidad µg Mínimo 0 Máximo 70.00 Sodio Unidad mg Mínimo 0 Máximo 1175.00 Potasio Unidad mg Mínimo 0 Máximo 1800.00 Cloro Unidad mg Mínimo 0 Máximo 1325.00 Calcio Unidad mg Mínimo 0 Máximo 1150.00 Fósforo Unidad mg Mínimo 0 Máximo 1020.00 Magnesio Unidad mg Mínimo 0 Máximo 300.00 Hierro Unidad mg Mínimo 0 Máximo 17.00 Cobre Unidad µg Mínimo 0 Máximo 1430.00 Zinc Unidad mg Mínimo 0 Máximo 17.00 Manganeso Unidad µg Mínimo 0 Máximo 1430.00 Yodo Unidad µg Mínimo 0 Máximo 150.00 Molibdeno Unidad µg Mínimo 0 Máximo 45.00 Selenio Unidad µg Mínimo 0 Máximo 37.00 Cromo Unidad µg Mínimo 0 Máximo 45.00. Envase: lata con medida dosificadora.</v>
          </cell>
          <cell r="U894">
            <v>1431</v>
          </cell>
          <cell r="V894">
            <v>3577</v>
          </cell>
        </row>
        <row r="895">
          <cell r="A895">
            <v>892</v>
          </cell>
          <cell r="B895" t="str">
            <v>010.000.5405.00</v>
          </cell>
          <cell r="E895" t="str">
            <v>Alimento médico para pacientes con acidemia metilmalonica y propionica De recien nacidos a 7 Años 11 Meses de edad. Polvo. Cada 100G Contiene: Energía Unidad kcal Mínimo 350.00 Máximo 500.00 Proteína Unidad g Mínimo 15.00 Máximo 25.00 Hidratos de carbono Unidad g Mínimo 51.00 Máximo 62.00 Lípidos Unidad g Mínimo 0 Máximo 26.00 L-Cistina Unidad g Mínimo 0.29 Máximo 0.95 L-Acido glutámico Unidad g Mínimo 0 Máximo 2.86 L-Histidina Unidad g Mínimo 0.42 Máximo 1.75 L-Isoleucina Unidad g Mínimo 0 Máximo 0.12 L-Leucina Unidad g Mínimo 1.38 Máximo 3.90 L-Lisina Unidad g Mínimo 1.00 Máximo 2.65 L-Metionina Unidad g Mínimo 0 Máximo trazas L-Fenilalanina Unidad g Mínimo 0.79 Máximo 1.72 L-Treonina Unidad g Mínimo 0 Máximo 0.10 L-Triptófano Unidad g Mínimo 0.17 Máximo 0.76 L-Tirosina Unidad g Mínimo 0.79 Máximo 1.72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3.70 Máximo 6.90 Acido ascórbico (vit.C) Unidad mg Mínimo 50.00 Máximo 135.00 Colina Unidad mg Mínimo 60.00 Máximo 110.00 Biotina Unidad µg Mínimo 38.00 Máximo 120.00 Inositol Unidad mg Mínimo 40.00 Máximo 86.00 Vitamina A-retinol Unidad UI Mínimo 1520.00 Máximo 1665.00 Vitamina D Unidad UI Mínimo 380.00 Máximo 480.00 Vitamina E Unidad UI Mínimo 6.50 Máximo 11.00 Vitamina K Unidad µg Mínimo 35.00 Máximo 40.00 Sodio Unidad mg Mínimo 190.00 Máximo 580.00 Potasio Unidad mg Mínimo 560.00 Máximo 840.00 Cloro Unidad mg Mínimo 410.00 Máximo 480.00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65.00 Máximo 90.00 Selenio Unidad µg Mínimo 14.10 Máximo 40.00 Envase: lata con medida dosificadora.</v>
          </cell>
          <cell r="U895">
            <v>4131</v>
          </cell>
          <cell r="V895">
            <v>10326</v>
          </cell>
        </row>
        <row r="896">
          <cell r="A896">
            <v>893</v>
          </cell>
          <cell r="B896" t="str">
            <v>010.000.5406.00</v>
          </cell>
          <cell r="E896" t="str">
            <v>Alimento Medico Para Pacientes Con Acidemia Metilmalonica Y Propionica De 8 Años O Mayores Y Adultos. Polvo Cada 100G Contiene: Energía Unidad kcal Mínimo 340.00 Máximo 410.00 Hidratos de carbono Unidad g Mínimo 35.00 Máximo 59.00 Lípidos Unidad g Mínimo 0 Máximo 13.00 Proteína Unidad g Mínimo 21.00 Máximo 39.00 L-Cistina Unidad g Mínimo 0.42 Máximo 1.49 L-Histidina Unidad g Mínimo 0.65 Máximo 2.74 L-Isoleucina Unidad g Mínimo 0 Máximo 0.24 L-Leucina Unidad g Mínimo 0 Máximo 3.40 L-Lisina Unidad g Mínimo 2.00 Máximo 4.18 L-Metionina Unidad g Mínimo 0 Máximo trazas L-Fenilalanina Unidad g Mínimo 1.11 Máximo 2.71 L-Treonina Unidad g Mínimo 0.00 Máximo 0.20 L-Triptófano Unidad g Mínimo 0.34 Máximo 1.21 L-Tirosina Unidad g Mínimo 1.11 Máximo 2.71 L-Valina Unidad g Mínimo 0 Máximo trazas Tiamina (B1) Unidad mg Mínimo 1.20 Máximo 3.25 Riboflavina (B2) Unidad mg Mínimo 0.98 Máximo 1.80 Niacina (B3) Unidad mg Mínimo 13.6 Máximo 22.00 Piridoxina (B6) Unidad mg Mínimo 0.98 Máximo 2.10 Cianocobalamina (B12) Unidad µg Mínimo 2.40 Máximo 5.00 Acido fólico  Unidad µg Mínimo 350.00 Máximo 500.00 Acido pantoténico Unidad mg Mínimo 4.80 Máximo 8.00 Acido ascórbico (vit.C) Unidad mg Mínimo 49.00 Máximo 90.00 Colina Unidad mg Mínimo 100.00 Máximo 320.00 Biotina  Unidad µg Mínimo 49.00 Máximo 140.00 Inositol Unidad mg Mínimo 49.00 Máximo 86.00 Vitamina A Unidad UI Mínimo 1430.00 Máximo 2350.00 Vitamina D Unidad UI Mínimo 290.00 Máximo 320.00 Vitamina E Unidad UI Mínimo 7.80 Máximo 12.10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176.00 Máximo 285.00 Hierro Unidad mg Mínimo 12.20 Máximo 23.50 Cobre  Unidad µg Mínimo 1000.00 Máximo 1400.00 Zinc Unidad mg Mínimo 12.20 Máximo 13.60 Manganeso Unidad mg Mínimo 0.80 Máximo 1.70 Yodo  Unidad µg Mínimo 49.00 Máximo 107.00 Molibdeno  Unidad µg Mínimo 30.00 Máximo 100.00 Selenio  Unidad µg Mínimo 29.00 Máximo 50.00 Cromo  Unidad µg Mínimo 27.00 Máximo 50.00 Envase: lata con medida dosificadora.</v>
          </cell>
          <cell r="U896">
            <v>81</v>
          </cell>
          <cell r="V896">
            <v>201</v>
          </cell>
        </row>
        <row r="897">
          <cell r="A897">
            <v>894</v>
          </cell>
          <cell r="B897" t="str">
            <v>010.000.5407.00</v>
          </cell>
          <cell r="E897" t="str">
            <v>Alimento médico para pacientes con enfermedad de orina de Jarabe de Maple (Arce) De recien nacidos a 7 Años 11 meses de edad. Polvo. Cada 100G Contiene Energía Unidad kcal Mínimo 350.00 Máximo 500.00 Proteína Unidad g Mínimo 15.00 Máximo 25.00 Hidratos de carbono Unidad g Mínimo 51.00 Máximo 62.00 Lípidos Unidad g Mínimo 0 Máximo 26.00 L-Alanina Unidad g Mínimo 1.28 Máximo 2.55 L-Cistina Unidad g Mínimo 0.15 Máximo 3.40 L-Histidina Unidad g Mínimo 0.42 Máximo 1.49 L-Isoleucina Unidad g Mínimo 0 Máximo trazas L-Leucina Unidad g Mínimo 0 Máximo trazas L-Lisina Unidad g Mínimo 1.00 Máximo 2.69 L-Metionina Unidad g Mínimo 0.30 Máximo 0.63 L-Fenilalanina Unidad g Mínimo 0.88 Máximo 1.75 L-Treonina Unidad g Mínimo 0.70 Máximo 1.94 L-Triptófano Unidad g Mínimo 0.17 Máximo 0.77 L-Tirosina Unidad g Mínimo 0.89 Máximo 1.75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3.80 Máximo 6.90 Acido ascórbico (vit.C) Unidad mg Mínimo 50.00 Máximo 135.00 Colina Unidad mg Mínimo 60.00 Máximo 110.00 Biotina Unidad µg Mínimo 38.00 Máximo 120.00 Inositol Unidad mg Mínimo 40.00 Máximo 86.00 Vitamina A Unidad UI Mínimo 1400.00 Máximo 1665.00 Vitamina D Unidad UI Mínimo 280.00 Máximo 480.00 Vitamina E Unidad UI Mínimo 6.50 Máximo 15.00 Vitamina K Unidad µg Mínimo 35.00 Máximo 50.00 Sodio Unidad mg Mínimo 190.00 Máximo 580.00 Potasio Unidad mg Mínimo 600.00 Máximo 840.00 Cloro Unidad mg Mínimo 325.00 Máximo 500.00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76.00 Máximo 90.00 Selenio Unidad µg Mínimo 14.10 Máximo 40.00 Envase: lata con medida dosificadora.</v>
          </cell>
          <cell r="U897">
            <v>4716</v>
          </cell>
          <cell r="V897">
            <v>11788</v>
          </cell>
        </row>
        <row r="898">
          <cell r="A898">
            <v>895</v>
          </cell>
          <cell r="B898" t="str">
            <v>010.000.5408.00</v>
          </cell>
          <cell r="E898" t="str">
            <v>Alimento médico para pacientes con enfermedad de orina de jarabe de maple (Arce) De 8 Años o Mayores y Adultos. Polvo. Cada 100G Contiene Energía Unidad kcal Mínimo 340.00 Máximo 410.00 Proteína Unidad g Mínimo 24.00 Máximo 39.00 Hidratos de carbono Unidad g Mínimo 35.00 Máximo 57.00 Lípidos Unidad g Mínimo 0 Máximo 14.00 L-Cistina Unidad g Mínimo 0.30 Máximo 1.80 L-Histidina Unidad g Mínimo 0.84 Máximo 2.33 L-Isoleucina Unidad g Mínimo 0 Máximo trazas L-Leucina Unidad g Mínimo 0 Máximo trazas L-Lisina Unidad g Mínimo 2.00 Máximo 4.21 L-Metionina Unidad g Mínimo 0.60 Máximo 0.99 L-Fenilalanina Unidad g Mínimo 1.49 Máximo 2.74 L-Prolina Unidad g Mínimo 2.30 Máximo 4.40 L-Serina Unidad g Mínimo 1.13 Máximo 2.71 L-Treonina Unidad g Mínimo 1.22 Máximo 3.04 L-Triptófano Unidad g Mínimo 0.34 Máximo 1.22 L-Tirosina Unidad g Mínimo 1.78 Máximo 3.90 L-Valina Unidad g Mínimo 0 Máximo trazas Tiamina (B1) Unidad mg Mínimo 1.40 Máximo 3.52 Riboflavina (B2) Unidad mg Mínimo 1.14 Máximo 1.80 Niacina (B3) Unidad mg Mínimo 13.60 Máximo 31.70 Piridoxina (B6) Unidad mg Mínimo 1.30 Máximo 2.10 Cianocobalamina (B12) Unidad µg Mínimo 2.80 Máximo 5.00 Acido fólico Unidad µg Mínimo 410.00 Máximo 500.00 Acido pantoténico Unidad mg Mínimo 5.00 Máximo 14.00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12.10 Vitamina K Unidad µg Mínimo 37.00 Máximo 70.00 Sodio Unidad mg Mínimo 560.00 Máximo 880.00 Potasio Unidad mg Mínimo 700.00 Máximo 1370.00 Cloro Unidad mg Mínimo 560.00 Máximo 1020.00 Calcio Unidad mg Mínimo 670.00 Máximo 880.00 Fósforo Unidad mg Mínimo 670.00 Máximo 760.00 Magnesio Unidad mg Mínimo 163.00 Máximo 285.00 Hierro Unidad mg Mínimo 13.00 Máximo 23.50 Cobre Unidad mg Mínimo 1.00 Máximo 1.40 Zinc Unidad mg Mínimo 12.20 Máximo 13.60 Manganeso Unidad mg Mínimo 0.80 Máximo 1.70 Yodo Unidad g Mínimo 57.00 Máximo 107.00 Molibdeno Unidad g Mínimo 30.00 Máximo 100.00 Selenio Unidad g Mínimo 28.00 Máximo 50.00 Cromo Unidad g Mínimo 27.00 Máximo 50.00 Envase: lata con medida dosificadora.</v>
          </cell>
          <cell r="U898">
            <v>1681</v>
          </cell>
          <cell r="V898">
            <v>4202</v>
          </cell>
        </row>
        <row r="899">
          <cell r="A899">
            <v>896</v>
          </cell>
          <cell r="B899" t="str">
            <v>010.000.5409.00</v>
          </cell>
          <cell r="E899" t="str">
            <v>Alimento médico para pacientes con Homocistinuria recien nacidos a 7 Años 11 Meses de edad. Polvo. Cada 100g contiene: Energía Unidad kcal Mínimo 350.00 Máximo 500.00. Proteína Unidad g Mínimo 15.00 Máximo 28.60 Hidratos de carbono Unidad g Mínimo 51.00 Máximo 62.00 Lípidos Unidad g Mínimo 0 Máximo 26.00 L-Cistina Unidad g Mínimo 0.45 Máximo 0.75 L-Histidina Unidad g Mínimo 0.41 Máximo 1.16 L-Isoleucina Unidad g Mínimo 1.08 Máximo 1.81 L-Leucina Unidad g Mínimo 1.68 Máximo 3.10 L-Lisina Unidad g Mínimo 1.00 Máximo 2.10 L-Metionina Unidad g Mínimo 0 Máximo trazas L-Fenilalanina Unidad g Mínimo 0.68 Máximo 1.37 L-Treonina Unidad g Mínimo 0.70 Máximo 1.52 L-Triptófano Unidad g Mínimo 0.17 Máximo 0.61 L-Tirosina Unidad g Mínimo 0.68 Máximo 1.37 L-Valina Unidad g Mínimo 1.22 Máximo 1.97 Tiamina (B1) Unidad µg Mínimo 1000.00 Máximo 1900.00 Riboflavina (B2) Unidad µg Mínimo 900.00 Máximo 1200.00 Niacina (B3) Unidad µg Mínimo 10000.00 Máximo 12800.00 Piridoxina (B6) Unidad µg Mínimo 750.00 Máximo 1000.00 Cianocobalamina (B12) Unidad µg Mínimo 2.00 Máximo 4.90 Acido fólico Unidad µg Mínimo 100.00 Máximo 230.00 Acido pantoténico Unidad µg Mínimo 3700.00 Máximo 6900.00 Acido ascórbico (vit.C) Unidad mg Mínimo 50.00 Máximo 135.00 Colina mg Mínimo 60.00 Máximo 110.00 Biotina Unidad µg Mínimo 38.00 Máximo 120.00 Inositol Unidad mg Mínimo 40.00 Máximo 86.00 Vitamina A Unidad UI Mínimo 1400.00 Máximo 1665.00 Vitamina D Unidad UI Mínimo 300.00 Máximo 480.00 Vitamina E Unidad UI Mínimo 6.50 Máximo 15.00 Vitamina K Unidad µg Mínimo 35.00 Máximo 50.00 Sodio Unidad mg Mínimo 190.00 Máximo 580.00 Potasio Unidad mg Mínimo 560.00 Máximo 840.00 Cloro Unidad mg Mínimo 430.00 Máximo 450.00 Calcio Unidad mg Mínimo 575.00 Máximo 810.00 Fósforo Unidad mg Mínimo 400.00 Máximo 810.00 Magnesio Unidad mg Mínimo 50.00 Máximo 200.00 Hierro Unidad mg Mínimo 9.00 Máximo 12.00 Cobre Unidad µg Mínimo 860.00 Máximo 2000.00 Zinc Unidad mg Mínimo 8.00 Máximo 13.00 Manganeso Unidad mg Mínimo 0.38 Máximo 1.30 Yodo Unidad µg Mínimo 65.00 Máximo 90.00 Molibdeno Unidad µg Mínimo 12.00 Máximo 45.00 Selenio Unidad µg Mínimo 14.10 Máximo 40.00 Envase: lata con medida dosificadora.</v>
          </cell>
          <cell r="U899">
            <v>4137</v>
          </cell>
          <cell r="V899">
            <v>10340</v>
          </cell>
        </row>
        <row r="900">
          <cell r="A900">
            <v>897</v>
          </cell>
          <cell r="B900" t="str">
            <v>010.000.5410.00</v>
          </cell>
          <cell r="E900" t="str">
            <v>Alimento médico para pacientes con Homocistinuria De 8 Años o Mayores y Adultos. Polvo. Cada 100G Contiene: Energía Unidad kcal Mínimo 340.00 Máximo 410.00 Proteína Unidad g Mínimo 22.00 Máximo 39.00 Hidratos de carbono Unidad g Mínimo 35.00 Máximo 61.00 Lípidos Unidad g Mínimo 0 Máximo 14.00 L-Cistina Unidad g Mínimo 0.81 Máximo 1.18 L-Histidina Unidad g Mínimo 0.55 Máximo 1.81 L-Isoleucina Unidad g Mínimo 1.56 Máximo 2.82 L-Leucina Unidad g Mínimo 2.90 Máximo 4.85 L-Lisina Unidad g Mínimo 1.78 Máximo 3.30 L-Metionina Unidad g Mínimo 0 Máximo traza L-Fenilalanina Unidad g Mínimo 0.92 Máximo 2.14 L-Treonina Unidad g Mínimo 1.03 Máximo 2.38 L-Triptófano Unidad g Mínimo 0.34 Máximo 0.95 L-Tirosina Unidad g Mínimo 0.92 Máximo 2.14 L-Valina Unidad g Mínimo 1.72 Máximo 3.09 Tiamina (B1) Unidad µg Mínimo 1400.00 Máximo 3250.00 Riboflavina (B2) Unidad µg Mínimo 1140.00 Máximo 1800.00 Niacina (B3) Unidad µg Mínimo 13600.00 Máximo 26000.00 Piridoxina (B6) Unidad µg Mínimo 1140.00 Máximo 2100.00 Cianocobalamina (B12) Unidad µg Mínimo 2.90 Máximo 5.00 Acido fólico Unidad µg Mínimo 410.00 Máximo 500.00 Acido pantoténico Unidad µg Mínimo 5000.00 Máximo 8000.00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18.00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163.00 Máximo 285.00 Hierro Unidad mg Mínimo 13.00 Máximo 23.50 Cobre Unidad mg Mínimo 1.00 Máximo 1.43 Zinc Unidad mg Mínimo 13.00 Máximo 13.80 Manganeso Unidad mg Mínimo 0.80 Máximo 1.70 Yodo Unidad µg Mínimo 57.00 Máximo 107.00 Molibdeno Unidad µg Mínimo 30.00 Máximo 100.00 Selenio Unidad µg Mínimo 33.00 Máximo 50.00 Cromo Unidad µg Mínimo 27.00 Máximo 50.00 Envase: lata con medida dosificadora.</v>
          </cell>
          <cell r="U900">
            <v>57</v>
          </cell>
          <cell r="V900">
            <v>140</v>
          </cell>
        </row>
        <row r="901">
          <cell r="A901">
            <v>898</v>
          </cell>
          <cell r="B901" t="str">
            <v>010.000.5411.00</v>
          </cell>
          <cell r="E901" t="str">
            <v>Alimento médico para menores de un año con acidemia isovalerica y otros trastornos del metabolismo de la leucina. Polvo. Contenido en: 100g Energía Unidades kcal Mínimo 475 Máximo 500. Proteína Unidades g Mínimo 13.00 Máximo 16.20. Carnitina Unidades mg Mínimo 0 Máximo 900. Taurina Unidades mg Mínimo 0 Máximo 40. Glutamina Unidades g Mínimo 0 Máximo 0.11. Glicina Unidades g Mínimo 1.00 Máximo 2.19. Hidratos de carbono Unidades g Mínimo 51 Máximo 54. Lípidos Unidades g Mínimo 21.70 Máximo 26. L-Cistina Unidades g Mínimo 0.15 Máximo 0.44. L-Histidina Unidades g Mínimo 0.42 Máximo 0.70. L-Isoleucina Unidades g Mínimo 0.42 Máximo 0.58. L-Leucina Unidades g Mínimo 0 Máximo traza. L-Lisina Unidades g Mínimo 1.00 Máximo 1.51. L-Metionina Unidades g Mínimo 0.26 Máximo 0.41. L-Fenilalanina Unidades g Mínimo 0.78 Máximo 0.88. L-Treonina Unidades g Mínimo 0.70 Máximo 0.87. L-Triptófano Unidades g Mínimo 0.17 Máximo 0.34. L-Tirosina Unidades g Mínimo 0.78 Máximo 0.89. L-Valina Unidades g Mínimo 0.41 Máximo 0.63. Tiamina (B1) Unidades mg Mínimo 0.39 Máximo 1.9. Riboflavina (B2) Unidades mg Mínimo 0.6 Máximo 1. Niacina (B3) Unidades mg Mínimo 4.50 Máximo 12.80. Piridoxina (B6) Unidades mg Mínimo 0.52 Máximo 1.00. Cianocobalamina (B12) Unidades µg Mínimo 1.25 Máximo 4.90. Acido fólico Unidades µg Mínimo 38 Máximo 230. Acido pantoténico Unidades µg Mínimo 2650 Máximo 6900. Acido ascórbico (vit.C) Unidades mg Mínimo 40 Máximo 60. Colina Unidades mg Mínimo 50 Máximo 80. Biotina Unidades µg Mínimo 26 Máximo 65. Inositol Unidades mg Mínimo 40 Máximo 100. Vitamina A Unidades µg Mínimo 420 Máximo 528. Vitamina D Unidades µg Mínimo 7.50 Máximo 9.5. Vitamina E Unidades mg Mínimo 3.3 Máximo 14.94. Vitamina K Unidades µg Mínimo 21 Máximo 50. Sodio Unidades mg Mínimo 120 Máximo 240. Potasio Unidades mg Mínimo 420 Máximo 675. Cloro Unidades mg Mínimo 290 Máximo 480. Calcio Unidades mg Mínimo 325 Máximo 660. Fósforo Unidades mg Mínimo 230 Máximo 440. Magnesio Unidades mg Mínimo 34 Máximo 66. Hierro Unidades mg Mínimo 7 Máximo 9.6. Cobre Unidades µg Mínimo 450 Máximo 1100. Cromo Unidades µg Mínimo 0 Máximo 15. Zinc Unidades mg Mínimo 5 Máximo 8.6. Manganeso Unidades mg Mínimo 0.38 Máximo 0.6. Yodo Unidades µg Mínimo 47 Máximo 76. Molibdeno Unidades µg Mínimo 0 Máximo 35. Selenio Unidades µg Mínimo 14.1 Máximo 20. Envase.</v>
          </cell>
          <cell r="U901">
            <v>4267</v>
          </cell>
          <cell r="V901">
            <v>10664</v>
          </cell>
        </row>
        <row r="902">
          <cell r="A902">
            <v>899</v>
          </cell>
          <cell r="B902" t="str">
            <v>010.000.5412.00</v>
          </cell>
          <cell r="E902" t="str">
            <v>ALIMENTO MEDICO PARA NIÑOS DE 1 A 8 AÑOS CON ACIDEMIA ISOVALERICA Y OTROSTRASTORNOS DEL METABOLISMO DE LA LEUCINA. POLVO. EN CADA 100 G CONTENIDO EN(MINIMO-MAXIMO): ENERGIA 309-500 KCAL, PROTEINA 16.2-30.00 G, CARNITINA 0-1800MG, TAURINA 0-100 MG, GLUTAMINA 0-0.33 G, HIDRATOS DE CARBONO 35-51 G, LIPIDOS0-26 G, L-CISTINA 0.29-0.86 G, L-HISTIDINA 0.47-1.35 G, L-ISOLEUCINA 0.58-0.86G, L-LEUCINA 0-TRAZA G, L-LISINA 1.51-2.05 G, L-METIONINA 0.30-0.60 G, L-FENILALANINA 0.78-1.76 G, L-TREONINA 0.87-1.40 G, L-TRIPTOFANO 0.34-0.53 G, L-TIROSINA 0.78-1.78 G, L-VALINA 0.63-0.96 G, GLICINA 1.1-4.20 G, TIAMINA (B1)1.0-3.25 MG, RIBOFLAVINA (B2) 1.0-1.80 MG, NIACINA (B3) 10-21.7 MG, PIRIDOXINA(B6) 1.00-1.40 MG, CIANOCOBALAMINA (B12) 2.00-5.00 MICROGRAMOS, ACIDO FOLICO100-430 MICROGRAMOS, ACIDO PANTOTENICO 3700-8000 MICROGRAMOS, ACIDO ASCORBICO(VIT.C) 60-135 MG, COLINA 60-110 MG, BIOTINA 38-120 MICROGRAMOS, INOSITOL 55.5-86 MG, VITAMINA A 1520-2200 UI, VITAMINA D 300-480 UI, VITAMINA E 4.35-14.94MG, VITAMINA K 30-60 MICROGRAMOS, SODIO 240-880 MG, POTASIO 580-1370 MG, CLORO450-940 MG, CALCIO 660-880 MG, FOSFORO 440-810 MG, MAGNESIO 66-225 MG, HIERRO9.6-13.00 MG, COBRE 860-1800 MICROGRAMOS, CROMO 0-40 MICROGRAMOS, ZINC 8.6-13MG, MANGANESO 0.38-1.60 MG, YODO 76-100 MICROGRAMOS, MOLIBDENO 0-100MICROGRAMOS, SELENIO 14.1-40 MICROGRAMOS. ENVASE.</v>
          </cell>
          <cell r="U902">
            <v>222</v>
          </cell>
          <cell r="V902">
            <v>552</v>
          </cell>
        </row>
        <row r="903">
          <cell r="A903">
            <v>900</v>
          </cell>
          <cell r="B903" t="str">
            <v>010.000.5413.00</v>
          </cell>
          <cell r="E903" t="str">
            <v>Alimento Medico Para Niños De 8 Años A Adultos Con Acidemia Isovalerica Y Otros Trastornos Del Metabolismo De La Leucina. POLVOContenido en: 100g  Energía Unidades kcal Mínimo 297 Máximo 500 Proteína Unidades G Mínimo 16.2 Máximo 39.00 Carnitina Unidades mg Mínimo 0 Máximo 1800 Taurina Unidades mg Mínimo 0 Máximo 150 Glutamina Unidades g Mínimo 0 Máximo 0.33 Hidratos de carbono Unidades g Mínimo 34.00 Máximo 51.00 Lípidos Unidades g Mínimo 0 Máximo 26.00 L-Cistina Unidades g Mínimo 0.29 Máximo 1.4 Glicina Unidades g Mínimo 1.1 Máximo 6.60 L-Histidina Unidades g Mínimo 0.47 Máximo 2.1 L-Isoleucina Unidades g Mínimo 0.58 Máximo 1.3 L-Leucina Unidades g Mínimo 0 Máximo Traza L-Lisina Unidades g Mínimo 1.51 Máximo 3.20 L-Metionina Unidades g Mínimo 0.41 Máximo 0.90 L-Fenilalanina Unidades g Mínimo 0.78 Máximo 2.50 L-Treonina Unidades g Mínimo 0.87 Máximo 2.20 L-Triptófano Unidades g Mínimo 0.34 Máximo 0.83 L-Tirosina Unidades g Mínimo 0.78 Máximo 2.40 L-Valina Unidades g Mínimo 0.63 Máximo 1.50 Tiamina (B1) Unidades mg Mínimo 1.00 Máximo 3.25 Riboflavina(B2) Unidades µg Mínimo 1.00 Máximo 1.80 Niacina (B3) Unidades mg Mínimo 10.00 Máximo 27.4 Piridoxina (B6) Unidades µg Mínimo 1000 Máximo 2100 Cianocobalamina (B12) Unidades µg Mínimo 2.00 Máximo 5.00 Acido fólico Unidades µg Mínimo 100 Máximo 500 Acido pantoténico Unidades µg Mínimo 3800 Máximo 8000 Acido ascórbico (vit.C) Unidades mg Mínimo 60 Máximo 90 Colina Unidades mg Mínimo 60 Máximo 321 Biotina Unidades µg Mínimo 38 Máximo 140 Inositol Unidades mg Mínimo 70.00 Máximo 86.00 Vitamina A Unidades UI Mínimo 1520 Máximo 2364 Vitamina D Unidades UI Mínimo 300 Máximo 380 Vitamina E Unidades mg Mínimo 5.2 Máximo 14.94 Vitamina K Unidades µg Mínimo 40 Máximo 70 Sodio Unidades mg Mínimo 240 Máximo 880 Potasio Unidades mg Mínimo 580 Máximo 1370 Cloro Unidades mg Mínimo 480 Máximo 940 Calcio Unidades mg Mínimo 660 Máximo 880 Fósforo Unidades mg Mínimo 440 Máximo 760 Magnesio Unidades mg Mínimo 66 Máximo 285 Hierro Unidades mg Mínimo 9.6 Máximo 23.5 Cobre Unidades µg Mínimo 860 Máximo 1400 Cromo Unidades µg Mínimo 0 Máximo 50.00 Zinc Unidades mg Mínimo 8.60 Máximo 13.60 Manganeso Unidades mg Mínimo 0.380 Máximo 2.10 Yodo Unidades µg Mínimo 76 Máximo 107 Molibdeno Unidades µg Mínimo 0  Máximo107 Selenio Unidades µg Mínimo 14.1 Máximo 50.00 Envase</v>
          </cell>
          <cell r="U903">
            <v>1349</v>
          </cell>
          <cell r="V903">
            <v>3370</v>
          </cell>
        </row>
        <row r="904">
          <cell r="A904">
            <v>901</v>
          </cell>
          <cell r="B904" t="str">
            <v>010.000.5418.01</v>
          </cell>
          <cell r="E904" t="str">
            <v>EXEMESTANO. GRAGEA. CADA GRAGEA CONTIENE: EXEMESTANO 25.0 MG. ENVASE CON 30 GRAGEAS.</v>
          </cell>
          <cell r="U904">
            <v>13661</v>
          </cell>
          <cell r="V904">
            <v>34151</v>
          </cell>
        </row>
        <row r="905">
          <cell r="A905">
            <v>902</v>
          </cell>
          <cell r="B905" t="str">
            <v>010.000.5418.02</v>
          </cell>
          <cell r="E905" t="str">
            <v>Exemestano. Gragea. Cada Gragea contiene: Exemestano 25.0 mg Envase con 90 Grageas.</v>
          </cell>
          <cell r="U905">
            <v>13201</v>
          </cell>
          <cell r="V905">
            <v>33002</v>
          </cell>
        </row>
        <row r="906">
          <cell r="A906">
            <v>903</v>
          </cell>
          <cell r="B906" t="str">
            <v>010.000.5423.00</v>
          </cell>
          <cell r="E906" t="str">
            <v>Trastuzumab. Solución Inyectable Cada frasco ámpula con polvo contiene: Trastuzumab 440 mg Envase con un frasco ámpula con polvo y un frasco ámpula con 20 ml de diluyente.</v>
          </cell>
          <cell r="U906">
            <v>57129</v>
          </cell>
          <cell r="V906">
            <v>142822</v>
          </cell>
        </row>
        <row r="907">
          <cell r="A907">
            <v>904</v>
          </cell>
          <cell r="B907" t="str">
            <v>010.000.5426.00</v>
          </cell>
          <cell r="E907" t="str">
            <v>Flutamida. Tableta Cada Tableta contiene: Flutamida 250 mg Envase con 90 Tabletas.</v>
          </cell>
          <cell r="U907">
            <v>3317</v>
          </cell>
          <cell r="V907">
            <v>8289</v>
          </cell>
        </row>
        <row r="908">
          <cell r="A908">
            <v>905</v>
          </cell>
          <cell r="B908" t="str">
            <v>010.000.5428.00</v>
          </cell>
          <cell r="E908" t="str">
            <v>Ondansetrón. Solución Inyectable Cada ampolleta o frasco ampula contiene: Clorhidrato dihidratado de ondansetrón equivalente a 8 mg de ondansetrón Envase con 3 ampolletas o frascos ámpula con 4 ml.</v>
          </cell>
          <cell r="U908">
            <v>1908742</v>
          </cell>
          <cell r="V908">
            <v>4771854</v>
          </cell>
        </row>
        <row r="909">
          <cell r="A909">
            <v>906</v>
          </cell>
          <cell r="B909" t="str">
            <v>010.000.5430.00</v>
          </cell>
          <cell r="E909" t="str">
            <v>MEGESTROL TABLETA CADA TABLETA CONTIENE: ACETATO DE MEGESTROL 40 MG, ENVASE CON100 TABLETAS.</v>
          </cell>
          <cell r="U909">
            <v>29980</v>
          </cell>
          <cell r="V909">
            <v>74946</v>
          </cell>
        </row>
        <row r="910">
          <cell r="A910">
            <v>907</v>
          </cell>
          <cell r="B910" t="str">
            <v>010.000.5431.00</v>
          </cell>
          <cell r="E910" t="str">
            <v>Leuprorelina. Suspensión Inyectable Cada frasco ámpula con microesferas liofilizadas contiene: Acetato de leuprorelina 3.75 mg Envase con un frasco ámpula y diluyente con 2 ml y equipo para su administración.</v>
          </cell>
          <cell r="U910">
            <v>2041</v>
          </cell>
          <cell r="V910">
            <v>5100</v>
          </cell>
        </row>
        <row r="911">
          <cell r="A911">
            <v>908</v>
          </cell>
          <cell r="B911" t="str">
            <v>010.000.5432.00</v>
          </cell>
          <cell r="E911" t="str">
            <v>Filgrastim. Solución Inyectable Cada frasco ámpula o jeringa contiene: Filgrastim 300 µg Envase con 5 frascos ámpula o Jeringas.</v>
          </cell>
          <cell r="U911">
            <v>187783</v>
          </cell>
          <cell r="V911">
            <v>469457</v>
          </cell>
        </row>
        <row r="912">
          <cell r="A912">
            <v>909</v>
          </cell>
          <cell r="B912" t="str">
            <v>010.000.5433.01</v>
          </cell>
          <cell r="E912" t="str">
            <v>Rituximab. Solución Inyectable Cada frasco ámpula contiene Rituximab 100 mg Envase con 2 frascos ámpula con 10 ml.</v>
          </cell>
          <cell r="U912">
            <v>58571</v>
          </cell>
          <cell r="V912">
            <v>146426</v>
          </cell>
        </row>
        <row r="913">
          <cell r="A913">
            <v>910</v>
          </cell>
          <cell r="B913" t="str">
            <v>010.000.5434.00</v>
          </cell>
          <cell r="E913" t="str">
            <v>Leuprorelina. Suspensión Inyectable El frasco ámpula contiene: Acetato de leuprorelina 11.25 mg Envase con un frasco ámpula ampolleta con 2 ml de diluyente y equipo para administración.</v>
          </cell>
          <cell r="U913">
            <v>4618</v>
          </cell>
          <cell r="V913">
            <v>11541</v>
          </cell>
        </row>
        <row r="914">
          <cell r="A914">
            <v>911</v>
          </cell>
          <cell r="B914" t="str">
            <v>010.000.5435.00</v>
          </cell>
          <cell r="E914" t="str">
            <v>Paclitaxel. Solución Inyectable Cada frasco ámpula contiene: Paclitaxel 300 mg Envase con un frasco ámpula con 50 ml con o sin equipo para venoclisis libre de polivinilcloruro (PVC) y filtro con membrana no mayor de 0.22 µm.</v>
          </cell>
          <cell r="U914">
            <v>84896</v>
          </cell>
          <cell r="V914">
            <v>212239</v>
          </cell>
        </row>
        <row r="915">
          <cell r="A915">
            <v>912</v>
          </cell>
          <cell r="B915" t="str">
            <v>010.000.5436.00</v>
          </cell>
          <cell r="E915" t="str">
            <v>TRETINOÍNA. CÁPSULA CADA CÁPSULA CONTIENE: TRETINOINA 10 MG ENVASE CON 100 CÁPSULAS.</v>
          </cell>
          <cell r="U915">
            <v>5283</v>
          </cell>
          <cell r="V915">
            <v>13205</v>
          </cell>
        </row>
        <row r="916">
          <cell r="A916">
            <v>913</v>
          </cell>
          <cell r="B916" t="str">
            <v>010.000.5437.00</v>
          </cell>
          <cell r="E916" t="str">
            <v>Docetaxel. Solución Inyectable. Cada frasco ámpula contiene: Docetaxel anhidro o trihidratado equivalente a 80 mg de docetaxel Envase con un frasco ámpula con 80 mg y frasco ámpula con 6 ml de diluyente.</v>
          </cell>
          <cell r="U916">
            <v>7936</v>
          </cell>
          <cell r="V916">
            <v>19840</v>
          </cell>
        </row>
        <row r="917">
          <cell r="A917">
            <v>914</v>
          </cell>
          <cell r="B917" t="str">
            <v>010.000.5437.01</v>
          </cell>
          <cell r="E917" t="str">
            <v>Docetaxel. Solución inyectable. Cada frasco ámpula contiene: Docetaxel anhidro o trihidratado equivalente a 80 mg de docetaxel. Envase con frasco ámpula con 80 mg con 4 ml.</v>
          </cell>
          <cell r="U917">
            <v>15119</v>
          </cell>
          <cell r="V917">
            <v>37796</v>
          </cell>
        </row>
        <row r="918">
          <cell r="A918">
            <v>915</v>
          </cell>
          <cell r="B918" t="str">
            <v>010.000.5437.02</v>
          </cell>
          <cell r="E918" t="str">
            <v>Docetaxel. Solución inyectable.  Cada frasco ámpula contiene: Docetaxel anhidro o trihidratado equivalente a 80 mg de docetaxel. Envase con frasco ámpula con 80 mg con 8 ml.</v>
          </cell>
          <cell r="U918">
            <v>37492</v>
          </cell>
          <cell r="V918">
            <v>93727</v>
          </cell>
        </row>
        <row r="919">
          <cell r="A919">
            <v>916</v>
          </cell>
          <cell r="B919" t="str">
            <v>010.000.5438.00</v>
          </cell>
          <cell r="E919" t="str">
            <v>Gemcitabina. Solución Inyectable. Cada frasco ámpula contiene: Clorhidrato de gemcitabina equivalenta a 1 g de gemcitabina. Envase con un frasco ámpula.</v>
          </cell>
          <cell r="U919">
            <v>70624</v>
          </cell>
          <cell r="V919">
            <v>176558</v>
          </cell>
        </row>
        <row r="920">
          <cell r="A920">
            <v>917</v>
          </cell>
          <cell r="B920" t="str">
            <v>010.000.5439.00</v>
          </cell>
          <cell r="E920" t="str">
            <v>Amifostina. Solución Inyectable. Cada frasco ámpula contiene: Amifostina (base anhidra) 500 mg Envase con un frasco ámpula.</v>
          </cell>
          <cell r="U920">
            <v>3802</v>
          </cell>
          <cell r="V920">
            <v>9505</v>
          </cell>
        </row>
        <row r="921">
          <cell r="A921">
            <v>918</v>
          </cell>
          <cell r="B921" t="str">
            <v>010.000.5440.01</v>
          </cell>
          <cell r="E921" t="str">
            <v>BICALUTAMIDA. TABLETA CADA TABLETA CONTIENE: BICALUTAMIDA 50 MG ENVASE CON 28 TABLETAS.</v>
          </cell>
          <cell r="U921">
            <v>266554</v>
          </cell>
          <cell r="V921">
            <v>666384</v>
          </cell>
        </row>
        <row r="922">
          <cell r="A922">
            <v>919</v>
          </cell>
          <cell r="B922" t="str">
            <v>010.000.5444.00</v>
          </cell>
          <cell r="E922" t="str">
            <v>IRINOTECAN. SOLUCIÓN INYECTABLE EL FRASCO ÁMPULA CONTIENE: CLORHIDRATO DE IRINOTECAN Ó CLORHIDRATO DE IRINOTECAN TRIHIDRATADO 100 MG ENVASE CON UN FRASCO ÁMPULA CON 5 ML</v>
          </cell>
          <cell r="U922">
            <v>49804</v>
          </cell>
          <cell r="V922">
            <v>124509</v>
          </cell>
        </row>
        <row r="923">
          <cell r="A923">
            <v>920</v>
          </cell>
          <cell r="B923" t="str">
            <v>010.000.5445.00</v>
          </cell>
          <cell r="E923" t="str">
            <v>Rituximab. Solución Inyectable Cada frasco ámpula contiene Rituximab 500 mg Envase con un frasco ámpula con 50 ml.</v>
          </cell>
          <cell r="U923">
            <v>24124</v>
          </cell>
          <cell r="V923">
            <v>60307</v>
          </cell>
        </row>
        <row r="924">
          <cell r="A924">
            <v>921</v>
          </cell>
          <cell r="B924" t="str">
            <v>010.000.5445.01</v>
          </cell>
          <cell r="E924" t="str">
            <v>RITUXIMAB. SOLUCIÓN INYECTABLE CADA FRASCO ÁMPULA CONTIENE RITUXIMAB 500 MG ENVASE CON DOS FRASCOS ÁMPULA CON 50 ML CADA UNO.</v>
          </cell>
          <cell r="U924">
            <v>35400</v>
          </cell>
          <cell r="V924">
            <v>88500</v>
          </cell>
        </row>
        <row r="925">
          <cell r="A925">
            <v>922</v>
          </cell>
          <cell r="B925" t="str">
            <v>010.000.5449.00</v>
          </cell>
          <cell r="E925" t="str">
            <v>Anastrozol. Tableta Cada Tableta contiene: Anastrozol 1 mg Envase con 28 Tabletas</v>
          </cell>
          <cell r="U925">
            <v>236679</v>
          </cell>
          <cell r="V925">
            <v>591695</v>
          </cell>
        </row>
        <row r="926">
          <cell r="A926">
            <v>923</v>
          </cell>
          <cell r="B926" t="str">
            <v>010.000.5451.00</v>
          </cell>
          <cell r="E926" t="str">
            <v>Cinarizina. Tableta Cada Tableta contiene: Cinarizina 75 mg Envase con 60 Tabletas</v>
          </cell>
          <cell r="U926">
            <v>1837624</v>
          </cell>
          <cell r="V926">
            <v>4594059</v>
          </cell>
        </row>
        <row r="927">
          <cell r="A927">
            <v>924</v>
          </cell>
          <cell r="B927" t="str">
            <v>010.000.5452.00</v>
          </cell>
          <cell r="E927" t="str">
            <v>Pegfilgrastim. Solución Inyectable Cada jeringa prellenada contiene: Pegfilgrastim 6 mg Envase con una jeringa prellenada con 6 mg/0.60 ml.</v>
          </cell>
          <cell r="U927">
            <v>30802</v>
          </cell>
          <cell r="V927">
            <v>77001</v>
          </cell>
        </row>
        <row r="928">
          <cell r="A928">
            <v>925</v>
          </cell>
          <cell r="B928" t="str">
            <v>010.000.5452.01</v>
          </cell>
          <cell r="E928" t="str">
            <v>PEGFILGRASTIM. SOLUCIÓN INYECTABLE CADA JERINGA PRELLENADA CON 6MG/0.60 ML CONTIENE: PEGFILGRASTIM 6 MG. CAJA DE CARTÓN CON UNA JERINGA PRELLENADA CON TAPA Y UN INYECTOR CORPORAL EN ENVASE DE BURBUJA E INSTRUCTIVO ANEXO.</v>
          </cell>
          <cell r="U928">
            <v>60</v>
          </cell>
          <cell r="V928">
            <v>150</v>
          </cell>
        </row>
        <row r="929">
          <cell r="A929">
            <v>926</v>
          </cell>
          <cell r="B929" t="str">
            <v>010.000.5453.00</v>
          </cell>
          <cell r="E929" t="str">
            <v>PEMETREXED. SOLUCIÓN INYECTABLE CADA FRASCO ÁMPULA CON LIOFILIZADO CONTIENE: PEMETREXED DISÓDICO HEPTAHIDRATADO O PEMETREXED DISÓDICO EQUIVALENTE A 500 MG DE PEMETREXED ENVASE CON FRASCO ÁMPULA.</v>
          </cell>
          <cell r="U929">
            <v>15759</v>
          </cell>
          <cell r="V929">
            <v>39394</v>
          </cell>
        </row>
        <row r="930">
          <cell r="A930">
            <v>927</v>
          </cell>
          <cell r="B930" t="str">
            <v>010.000.5457.00</v>
          </cell>
          <cell r="E930" t="str">
            <v>DOCETAXEL. SOLUCIÓN INYECTABLE. CADA FRASCO ÁMPULA CONTIENE: DOCETAXEL ANHIDRO O TRIHIDRATADO EQUIVALENTE A 20 MG DE DOCETAXEL ENVASE CON FRASCO ÁMPULA CON 20 MG Y FRASCO ÁMPULA CON 1.5 ML DE DILUYENTE.</v>
          </cell>
          <cell r="U930">
            <v>6847</v>
          </cell>
          <cell r="V930">
            <v>17116</v>
          </cell>
        </row>
        <row r="931">
          <cell r="A931">
            <v>928</v>
          </cell>
          <cell r="B931" t="str">
            <v>010.000.5458.00</v>
          </cell>
          <cell r="E931" t="str">
            <v>OXALIPLATINO. SOLUCIÓN INYECTABLE CADA FRASCO ÁMPULA CONTIENE: OXALIPLATINO 50 MG ENVASE CON UN FRASCO ÁMPULA CON LIOFILIZADO O ENVASE CON UN FRASCO ÁMPULA CON 10 ML.</v>
          </cell>
          <cell r="U931">
            <v>64342</v>
          </cell>
          <cell r="V931">
            <v>160854</v>
          </cell>
        </row>
        <row r="932">
          <cell r="A932">
            <v>929</v>
          </cell>
          <cell r="B932" t="str">
            <v>010.000.5459.00</v>
          </cell>
          <cell r="E932" t="str">
            <v>Oxaliplatino. Solución Inyectable Cada frasco ámpula contiene: oxaliplatino 100 mg Envase con un frasco ámpula con liofilizado o envase con un frasco ámpula con 20 ml.</v>
          </cell>
          <cell r="U932">
            <v>14714</v>
          </cell>
          <cell r="V932">
            <v>36783</v>
          </cell>
        </row>
        <row r="933">
          <cell r="A933">
            <v>930</v>
          </cell>
          <cell r="B933" t="str">
            <v>010.000.5461.00</v>
          </cell>
          <cell r="E933" t="str">
            <v>Capecitabina. Tableta. Cada tableta contiene: Capecitabina 500 mg Envase con 120 Tabletas.</v>
          </cell>
          <cell r="U933">
            <v>80345</v>
          </cell>
          <cell r="V933">
            <v>200861</v>
          </cell>
        </row>
        <row r="934">
          <cell r="A934">
            <v>931</v>
          </cell>
          <cell r="B934" t="str">
            <v>010.000.5463.00</v>
          </cell>
          <cell r="E934" t="str">
            <v>TEMOZOLOMIDA. CÁPSULA CADA CÁPSULA CONTIENE: TEMOZOLOMIDA 100 MG ENVASE CON 5 CÁPSULAS</v>
          </cell>
          <cell r="U934">
            <v>3699</v>
          </cell>
          <cell r="V934">
            <v>9246</v>
          </cell>
        </row>
        <row r="935">
          <cell r="A935">
            <v>932</v>
          </cell>
          <cell r="B935" t="str">
            <v>010.000.5463.01</v>
          </cell>
          <cell r="E935" t="str">
            <v>TEMOZOLOMIDA. CÁPSULA CADA CÁPSULA CONTIENE: TEMOZOLOMIDA 100 MG ENVASE CON 10 CÁPSULAS.</v>
          </cell>
          <cell r="U935">
            <v>8</v>
          </cell>
          <cell r="V935">
            <v>16</v>
          </cell>
        </row>
        <row r="936">
          <cell r="A936">
            <v>933</v>
          </cell>
          <cell r="B936" t="str">
            <v>010.000.5463.02</v>
          </cell>
          <cell r="E936" t="str">
            <v>TEMOZOLOMIDA. CÁPSULA CADA CÁPSULA CONTIENE: TEMOZOLOMIDA 100 MG ENVASE CON 20 CÁPSULAS</v>
          </cell>
          <cell r="U936">
            <v>6098</v>
          </cell>
          <cell r="V936">
            <v>15242</v>
          </cell>
        </row>
        <row r="937">
          <cell r="A937">
            <v>934</v>
          </cell>
          <cell r="B937" t="str">
            <v>010.000.5465.00</v>
          </cell>
          <cell r="E937" t="str">
            <v>Temozolomida. Cápsula Cada Cápsula contiene: Temozolomida 20 mg Envase con 5 Cápsulas</v>
          </cell>
          <cell r="U937">
            <v>1247</v>
          </cell>
          <cell r="V937">
            <v>3114</v>
          </cell>
        </row>
        <row r="938">
          <cell r="A938">
            <v>935</v>
          </cell>
          <cell r="B938" t="str">
            <v>010.000.5465.01</v>
          </cell>
          <cell r="E938" t="str">
            <v>TEMOZOLOMIDA. CÁPSULA CADA CÁPSULA CONTIENE: TEMOZOLOMIDA 20 MG ENVASE CON 10 CÁPSULAS</v>
          </cell>
          <cell r="U938">
            <v>4</v>
          </cell>
          <cell r="V938">
            <v>6</v>
          </cell>
        </row>
        <row r="939">
          <cell r="A939">
            <v>936</v>
          </cell>
          <cell r="B939" t="str">
            <v>010.000.5465.02</v>
          </cell>
          <cell r="E939" t="str">
            <v>TEMOZOLOMIDA. CÁPSULA CADA CÁPSULA CONTIENE: TEMOZOLOMIDA 20 MG ENVASE CON 20 CÁPSULAS</v>
          </cell>
          <cell r="U939">
            <v>3935</v>
          </cell>
          <cell r="V939">
            <v>9836</v>
          </cell>
        </row>
        <row r="940">
          <cell r="A940">
            <v>937</v>
          </cell>
          <cell r="B940" t="str">
            <v>010.000.5468.00</v>
          </cell>
          <cell r="E940" t="str">
            <v>Ácido zoledrónico. Solución Inyectable Cada frasco ámpula con 5 ml contiene: Acido zoledrónico monohidratado equivalente a 4.0 mg de ácido zoledrónico Envase con un frasco ámpula.</v>
          </cell>
          <cell r="U940">
            <v>85685</v>
          </cell>
          <cell r="V940">
            <v>214212</v>
          </cell>
        </row>
        <row r="941">
          <cell r="A941">
            <v>938</v>
          </cell>
          <cell r="B941" t="str">
            <v>010.000.5470.00</v>
          </cell>
          <cell r="E941" t="str">
            <v>Gefitinib. Tableta Cada Tableta contiene: Gefitinib 250 mg Envase con 30 Tabletas.</v>
          </cell>
          <cell r="U941">
            <v>2417</v>
          </cell>
          <cell r="V941">
            <v>6040</v>
          </cell>
        </row>
        <row r="942">
          <cell r="A942">
            <v>939</v>
          </cell>
          <cell r="B942" t="str">
            <v>010.000.5472.00</v>
          </cell>
          <cell r="E942" t="str">
            <v>Bevacizumab. Solución Inyectable Cada frasco ámpula contiene: Bevacizumab 100 mg Envase con frasco ámpula con 4 ml.</v>
          </cell>
          <cell r="U942">
            <v>37668</v>
          </cell>
          <cell r="V942">
            <v>94169</v>
          </cell>
        </row>
        <row r="943">
          <cell r="A943">
            <v>940</v>
          </cell>
          <cell r="B943" t="str">
            <v>010.000.5473.00</v>
          </cell>
          <cell r="E943" t="str">
            <v>Bevacizumab. Solución Inyectable Cada frasco ámpula contiene: Bevacizumab 400 mg Envase con frasco ámpula con 16 ml.</v>
          </cell>
          <cell r="U943">
            <v>44635</v>
          </cell>
          <cell r="V943">
            <v>111584</v>
          </cell>
        </row>
        <row r="944">
          <cell r="A944">
            <v>941</v>
          </cell>
          <cell r="B944" t="str">
            <v>010.000.5474.00</v>
          </cell>
          <cell r="E944" t="str">
            <v>Erlotinib. Comprimido Cada Comprimido contiene: Clorhidrato de erlotinib equivalente a 150 mg de erlotinib Envase con 30 Comprimidos.</v>
          </cell>
          <cell r="U944">
            <v>1418</v>
          </cell>
          <cell r="V944">
            <v>3544</v>
          </cell>
        </row>
        <row r="945">
          <cell r="A945">
            <v>942</v>
          </cell>
          <cell r="B945" t="str">
            <v>010.000.5475.00</v>
          </cell>
          <cell r="E945" t="str">
            <v>Cetuximab. Solución Inyectable. Cada frasco ámpula contiene: Cetuximab 100 mg Envase con frasco ámpula con 50 ml (2 mg/ml).</v>
          </cell>
          <cell r="U945">
            <v>7301</v>
          </cell>
          <cell r="V945">
            <v>18251</v>
          </cell>
        </row>
        <row r="946">
          <cell r="A946">
            <v>943</v>
          </cell>
          <cell r="B946" t="str">
            <v>010.000.5480.00</v>
          </cell>
          <cell r="E946" t="str">
            <v>SORAFENIB. COMPRIMIDO CADA COMPRIMIDO CONTIENE: TOSILATO DE SORAFENIB EQUIVALENTE A 200 MG DE SORAFENIB ENVASE CON 112 COMPRIMIDOS.</v>
          </cell>
          <cell r="U946">
            <v>5851</v>
          </cell>
          <cell r="V946">
            <v>14627</v>
          </cell>
        </row>
        <row r="947">
          <cell r="A947">
            <v>944</v>
          </cell>
          <cell r="B947" t="str">
            <v>010.000.5481.00</v>
          </cell>
          <cell r="E947" t="str">
            <v>Paroxetina. Tableta Cada Tableta contiene: Clorhidrato de paroxetina equivalente a 20 mg de paroxetina. Envase con 10 Tabletas.</v>
          </cell>
          <cell r="U947">
            <v>3419817</v>
          </cell>
          <cell r="V947">
            <v>8549540</v>
          </cell>
        </row>
        <row r="948">
          <cell r="A948">
            <v>945</v>
          </cell>
          <cell r="B948" t="str">
            <v>010.000.5482.00</v>
          </cell>
          <cell r="E948" t="str">
            <v>SUNITINIB. CÁPSULA CADA CÁPSULA CONTIENE: MALATO DE SUNITINIB EQUIVALENTE A 12.5 MG DE SUNITINIB ENVASE CON 28 CÁPSULAS.</v>
          </cell>
          <cell r="U948">
            <v>25317</v>
          </cell>
          <cell r="V948">
            <v>63290</v>
          </cell>
        </row>
        <row r="949">
          <cell r="A949">
            <v>946</v>
          </cell>
          <cell r="B949" t="str">
            <v>010.000.5484.01</v>
          </cell>
          <cell r="E949" t="str">
            <v>ZUCLOPENTIXOL. TABLETA CADA TABLETA CONTIENE: DICLORHIDRATO DE ZUCLOPENTIXOL EQUIVALENTE A 25 MG DE ZUCLOPENTIXOL ENVASE CON 50 TABLETAS.</v>
          </cell>
          <cell r="U949">
            <v>7336</v>
          </cell>
          <cell r="V949">
            <v>18339</v>
          </cell>
        </row>
        <row r="950">
          <cell r="A950">
            <v>947</v>
          </cell>
          <cell r="B950" t="str">
            <v>010.000.5485.00</v>
          </cell>
          <cell r="E950" t="str">
            <v>Olanzapina. Tableta Cada Tableta contiene: olanzapina 5 mg Envase con 14 Tabletas.</v>
          </cell>
          <cell r="U950">
            <v>502</v>
          </cell>
          <cell r="V950">
            <v>1255</v>
          </cell>
        </row>
        <row r="951">
          <cell r="A951">
            <v>948</v>
          </cell>
          <cell r="B951" t="str">
            <v>010.000.5485.01</v>
          </cell>
          <cell r="E951" t="str">
            <v>Olanzapina. Tableta Cada Tableta contiene: olanzapina 5 mg Envase con 28 Tabletas.</v>
          </cell>
          <cell r="U951">
            <v>70397</v>
          </cell>
          <cell r="V951">
            <v>175991</v>
          </cell>
        </row>
        <row r="952">
          <cell r="A952">
            <v>949</v>
          </cell>
          <cell r="B952" t="str">
            <v>010.000.5486.01</v>
          </cell>
          <cell r="E952" t="str">
            <v>Olanzapina. Tableta Cada Tableta contiene: olanzapina 10 mg Envase con 28 Tabletas.</v>
          </cell>
          <cell r="U952">
            <v>709488</v>
          </cell>
          <cell r="V952">
            <v>1773718</v>
          </cell>
        </row>
        <row r="953">
          <cell r="A953">
            <v>950</v>
          </cell>
          <cell r="B953" t="str">
            <v>010.000.5487.00</v>
          </cell>
          <cell r="E953" t="str">
            <v>CITALOPRAM. TABLETA CADA TABLETA CONTIENE: BROMHIDRATO DE CITALOPRAM EQUIVALENTE A 20 MG DE CITALOPRAM. ENVASE CON 14 TABLETAS</v>
          </cell>
          <cell r="U953">
            <v>5226</v>
          </cell>
          <cell r="V953">
            <v>13061</v>
          </cell>
        </row>
        <row r="954">
          <cell r="A954">
            <v>951</v>
          </cell>
          <cell r="B954" t="str">
            <v>010.000.5487.01</v>
          </cell>
          <cell r="E954" t="str">
            <v>Citalopram. Tableta Cada Tableta contiene: Bromhidrato de citalopram equivalente a 20 mg de citalopram. Envase con 28 Tabletas</v>
          </cell>
          <cell r="U954">
            <v>1448132</v>
          </cell>
          <cell r="V954">
            <v>3620327</v>
          </cell>
        </row>
        <row r="955">
          <cell r="A955">
            <v>952</v>
          </cell>
          <cell r="B955" t="str">
            <v>010.000.5488.00</v>
          </cell>
          <cell r="E955" t="str">
            <v>Valproato semisódico. Comprimido con Capa Entérica Cada Comprimido contiene: Valproato semisódico equivalente a 250 mg de ácido valproico. Envase con 30 Comprimidos.</v>
          </cell>
          <cell r="U955">
            <v>460820</v>
          </cell>
          <cell r="V955">
            <v>1152050</v>
          </cell>
        </row>
        <row r="956">
          <cell r="A956">
            <v>953</v>
          </cell>
          <cell r="B956" t="str">
            <v>010.000.5489.00</v>
          </cell>
          <cell r="E956" t="str">
            <v>Quetiapina. Tableta Cada Tableta contiene: Fumarato de quetiapina equivalente a 100 mg de quetiapina Envase con 60 Tabletas.</v>
          </cell>
          <cell r="U956">
            <v>734874</v>
          </cell>
          <cell r="V956">
            <v>1837185</v>
          </cell>
        </row>
        <row r="957">
          <cell r="A957">
            <v>954</v>
          </cell>
          <cell r="B957" t="str">
            <v>010.000.5490.00</v>
          </cell>
          <cell r="E957" t="str">
            <v>Mirtazapina. Tableta o Tableta Dispersable Cada Tableta o Tableta Dispersable contiene: Mirtazapina 30 mg Envase con 30 Tabletas o Tabletas Dispersables</v>
          </cell>
          <cell r="U957">
            <v>214150</v>
          </cell>
          <cell r="V957">
            <v>535373</v>
          </cell>
        </row>
        <row r="958">
          <cell r="A958">
            <v>955</v>
          </cell>
          <cell r="B958" t="str">
            <v>010.000.5494.00</v>
          </cell>
          <cell r="E958" t="str">
            <v>Quetiapina. Tableta de Liberación Prolongada Cada Tableta de Liberación Prolongada contiene: Fumarato de quetiapina equivalente a 300 mg de quetiapina Envase con 30 Tabletas de Liberación Prolongada</v>
          </cell>
          <cell r="U958">
            <v>164585</v>
          </cell>
          <cell r="V958">
            <v>411461</v>
          </cell>
        </row>
        <row r="959">
          <cell r="A959">
            <v>956</v>
          </cell>
          <cell r="B959" t="str">
            <v>010.000.5501.00</v>
          </cell>
          <cell r="E959" t="str">
            <v>Diclofenaco. Solución inyectable. Cada ampolleta contiene: Diclofenaco sódico 75 mg Envase con 2 ampolletas con 3 ml.</v>
          </cell>
          <cell r="U959">
            <v>3025110</v>
          </cell>
          <cell r="V959">
            <v>7562773</v>
          </cell>
        </row>
        <row r="960">
          <cell r="A960">
            <v>957</v>
          </cell>
          <cell r="B960" t="str">
            <v>010.000.5503.00</v>
          </cell>
          <cell r="E960" t="str">
            <v>SULINDACO. TABLETA O GRAGEA CADA TABLETA O GRAGEA CONTIENE: SULINDACO 200 MG ENVASE CON 20 TABLETAS O GRAGEAS.</v>
          </cell>
          <cell r="U960">
            <v>4093774</v>
          </cell>
          <cell r="V960">
            <v>10234432</v>
          </cell>
        </row>
        <row r="961">
          <cell r="A961">
            <v>958</v>
          </cell>
          <cell r="B961" t="str">
            <v>010.000.5505.00</v>
          </cell>
          <cell r="E961" t="str">
            <v>Celecoxib. Cápsula. Cada cápsula contiene: Celecoxib 100 mg Envase con 20 Cápsulas.</v>
          </cell>
          <cell r="U961">
            <v>3570235</v>
          </cell>
          <cell r="V961">
            <v>8925584</v>
          </cell>
        </row>
        <row r="962">
          <cell r="A962">
            <v>959</v>
          </cell>
          <cell r="B962" t="str">
            <v>010.000.5506.00</v>
          </cell>
          <cell r="E962" t="str">
            <v>Celecoxib. Cápsula. Cada cápsula contiene: Celecoxib 200 mg. Envase con 10 Cápsulas.</v>
          </cell>
          <cell r="U962">
            <v>9965164</v>
          </cell>
          <cell r="V962">
            <v>24912908</v>
          </cell>
        </row>
        <row r="963">
          <cell r="A963">
            <v>960</v>
          </cell>
          <cell r="B963" t="str">
            <v>010.000.5541.00</v>
          </cell>
          <cell r="E963" t="str">
            <v>Letrozol. Gragea o Tableta Cada Gragea o Tableta contiene: Letrozol 2.5 mg Envase con 30 Grageas o Tabletas</v>
          </cell>
          <cell r="U963">
            <v>248066</v>
          </cell>
          <cell r="V963">
            <v>620164</v>
          </cell>
        </row>
        <row r="964">
          <cell r="A964">
            <v>961</v>
          </cell>
          <cell r="B964" t="str">
            <v>010.000.5544.00</v>
          </cell>
          <cell r="E964" t="str">
            <v>Rivaroxabán. Comprimido Cada Comprimido contiene: Rivaroxabán 10 mg Envase con 10 Comprimidos</v>
          </cell>
          <cell r="U964">
            <v>19067</v>
          </cell>
          <cell r="V964">
            <v>47666</v>
          </cell>
        </row>
        <row r="965">
          <cell r="A965">
            <v>962</v>
          </cell>
          <cell r="B965" t="str">
            <v>010.000.5544.01</v>
          </cell>
          <cell r="E965" t="str">
            <v>Rivaroxabán. Comprimido Cada Comprimido contiene: Rivaroxabán 10 mg Envase con 30 Comprimidos</v>
          </cell>
          <cell r="U965">
            <v>188581</v>
          </cell>
          <cell r="V965">
            <v>471449</v>
          </cell>
        </row>
        <row r="966">
          <cell r="A966">
            <v>963</v>
          </cell>
          <cell r="B966" t="str">
            <v>010.000.5600.00</v>
          </cell>
          <cell r="E966" t="str">
            <v>Bosentan. Tableta Cada Tableta contiene: Bosentan 62.5 mg Envase con 60 Tabletas</v>
          </cell>
          <cell r="U966">
            <v>2226</v>
          </cell>
          <cell r="V966">
            <v>5563</v>
          </cell>
        </row>
        <row r="967">
          <cell r="A967">
            <v>964</v>
          </cell>
          <cell r="B967" t="str">
            <v>010.000.5601.00</v>
          </cell>
          <cell r="E967" t="str">
            <v>Bosentan. Tableta Cada Tableta contiene: Bosentan 125 mg Envase con 60 Tabletas</v>
          </cell>
          <cell r="U967">
            <v>2920</v>
          </cell>
          <cell r="V967">
            <v>7298</v>
          </cell>
        </row>
        <row r="968">
          <cell r="A968">
            <v>965</v>
          </cell>
          <cell r="B968" t="str">
            <v>010.000.5602.01</v>
          </cell>
          <cell r="E968" t="str">
            <v>Prasugrel. Tableta Cada Tableta contiene: Clorhidrato de prasugrel equivalente a 5 mg de prasugrel Envase con 28 Tabletas.</v>
          </cell>
          <cell r="U968">
            <v>860</v>
          </cell>
          <cell r="V968">
            <v>2147</v>
          </cell>
        </row>
        <row r="969">
          <cell r="A969">
            <v>966</v>
          </cell>
          <cell r="B969" t="str">
            <v>010.000.5603.01</v>
          </cell>
          <cell r="E969" t="str">
            <v>Prasugrel. Tableta Cada Tableta contiene: Clorhidrato de prasugrel equivalente a 10 mg de prasugrel Envase con 28 Tabletas.</v>
          </cell>
          <cell r="U969">
            <v>2569</v>
          </cell>
          <cell r="V969">
            <v>6420</v>
          </cell>
        </row>
        <row r="970">
          <cell r="A970">
            <v>967</v>
          </cell>
          <cell r="B970" t="str">
            <v>010.000.5610.00</v>
          </cell>
          <cell r="E970" t="str">
            <v>LANREOTIDO. SOLUCIÓN INYECTABLE CADA JERINGA PRELLENADA CONTIENE: ACETATO DE LANREÓTIDO EQUIVALENTE A 90 MG DE LANREÓTIDO ENVASE CON UNA JERINGA PRELLENADA CON 0.3 ML.</v>
          </cell>
          <cell r="U970">
            <v>70</v>
          </cell>
          <cell r="V970">
            <v>175</v>
          </cell>
        </row>
        <row r="971">
          <cell r="A971">
            <v>968</v>
          </cell>
          <cell r="B971" t="str">
            <v>010.000.5611.00</v>
          </cell>
          <cell r="E971" t="str">
            <v>Lanreotido. Solución Inyectable Cada jeringa prellenada contiene: Acetato de lanreótido equivalente a 120 mg de lanreótido Envase con una jeringa prellenada con 0.5 ml.</v>
          </cell>
          <cell r="U971">
            <v>99</v>
          </cell>
          <cell r="V971">
            <v>247</v>
          </cell>
        </row>
        <row r="972">
          <cell r="A972">
            <v>969</v>
          </cell>
          <cell r="B972" t="str">
            <v>010.000.5617.00</v>
          </cell>
          <cell r="E972" t="str">
            <v>LENALIDOMIDA. CÁPSULA CADA CÁPSULA CONTIENE: LENALIDOMIDA 10 MG ENVASE CON 21 CÁPSULAS</v>
          </cell>
          <cell r="U972">
            <v>9176</v>
          </cell>
          <cell r="V972">
            <v>22938</v>
          </cell>
        </row>
        <row r="973">
          <cell r="A973">
            <v>970</v>
          </cell>
          <cell r="B973" t="str">
            <v>010.000.5618.00</v>
          </cell>
          <cell r="E973" t="str">
            <v>LENALIDOMIDA. CÁPSULA CADA CÁPSULA CONTIENE: LENALIDOMIDA 15 MG ENVASE CON 21 CÁPSULAS</v>
          </cell>
          <cell r="U973">
            <v>838</v>
          </cell>
          <cell r="V973">
            <v>2093</v>
          </cell>
        </row>
        <row r="974">
          <cell r="A974">
            <v>971</v>
          </cell>
          <cell r="B974" t="str">
            <v>010.000.5619.00</v>
          </cell>
          <cell r="E974" t="str">
            <v>LENALIDOMIDA. CÁPSULA CADA CÁPSULA CONTIENE: LENALIDOMIDA 25 MG ENVASE CON 21 CÁPSULAS</v>
          </cell>
          <cell r="U974">
            <v>12555</v>
          </cell>
          <cell r="V974">
            <v>31386</v>
          </cell>
        </row>
        <row r="975">
          <cell r="A975">
            <v>972</v>
          </cell>
          <cell r="B975" t="str">
            <v>010.000.5620.00</v>
          </cell>
          <cell r="E975" t="str">
            <v>VILDAGLIPTINA. COMPRIMIDO CADA COMPRIMIDO CONTIENE: VILDAGLIPTINA 50 MG ENVASE CON 28 COMPRIMIDOS.</v>
          </cell>
          <cell r="U975">
            <v>253490</v>
          </cell>
          <cell r="V975">
            <v>633724</v>
          </cell>
        </row>
        <row r="976">
          <cell r="A976">
            <v>973</v>
          </cell>
          <cell r="B976" t="str">
            <v>010.000.5625.00</v>
          </cell>
          <cell r="E976" t="str">
            <v>Darbepoetina alfa. Solución Inyectable Cada jeringa prellenada contiene: Darbepoetina alfa 20 µg. Envase con cuatro jeringas prellenadas con 0.5 ml.</v>
          </cell>
          <cell r="U976">
            <v>64</v>
          </cell>
          <cell r="V976">
            <v>160</v>
          </cell>
        </row>
        <row r="977">
          <cell r="A977">
            <v>974</v>
          </cell>
          <cell r="B977" t="str">
            <v>010.000.5630.00</v>
          </cell>
          <cell r="E977" t="str">
            <v>Clopidogrel ácido acetilsalicílico. Tableta Cada tableta contiene: Bisulfato de clopidogrel equivalente a 75 mg de clopidogrel Acido acetilsalicílico 100 mg. Envase con 28 tabletas.</v>
          </cell>
          <cell r="U977">
            <v>34266</v>
          </cell>
          <cell r="V977">
            <v>85663</v>
          </cell>
        </row>
        <row r="978">
          <cell r="A978">
            <v>975</v>
          </cell>
          <cell r="B978" t="str">
            <v>010.000.5631.00</v>
          </cell>
          <cell r="E978" t="str">
            <v>Alprostadil. Solución Inyectable. Cada ampolleta con liofilizado o solución contiene: Alprostadil 20 µg. Envase con una ampolleta.</v>
          </cell>
          <cell r="U978">
            <v>566</v>
          </cell>
          <cell r="V978">
            <v>1413</v>
          </cell>
        </row>
        <row r="979">
          <cell r="A979">
            <v>976</v>
          </cell>
          <cell r="B979" t="str">
            <v>010.000.5631.01</v>
          </cell>
          <cell r="E979" t="str">
            <v>Alprostadil. Solución Inyectable. Cada ampolleta con liofilizado o solución contiene: Alprostadil 20 µg. Envase con 5 ampolletas con 1 ml de solución cada una (20 µg/ml).</v>
          </cell>
          <cell r="U979">
            <v>128</v>
          </cell>
          <cell r="V979">
            <v>317</v>
          </cell>
        </row>
        <row r="980">
          <cell r="A980">
            <v>977</v>
          </cell>
          <cell r="B980" t="str">
            <v>010.000.5635.00</v>
          </cell>
          <cell r="E980" t="str">
            <v>DEXLANSOPRAZOL. CÁPSULA DE LIBERACIÓN RETARDADA CADA CÁPSULA DE LIBERACIÓN RETARDADA CONTIENE: DEXLANSOPRAZOL 60 MG ENVASE CON 14 CÁPSULAS DE LIBERACIÓN RETARDADA.</v>
          </cell>
          <cell r="U980">
            <v>40760</v>
          </cell>
          <cell r="V980">
            <v>101897</v>
          </cell>
        </row>
        <row r="981">
          <cell r="A981">
            <v>978</v>
          </cell>
          <cell r="B981" t="str">
            <v>010.000.5635.01</v>
          </cell>
          <cell r="E981" t="str">
            <v>dexlansoprazol. Cápsula de liberación retardada cada cápsula de liberación retardada contiene: dexlansoprazol 60 mg. Envase con 28 cápsulas de liberación retardada.</v>
          </cell>
          <cell r="U981">
            <v>5932</v>
          </cell>
          <cell r="V981">
            <v>14827</v>
          </cell>
        </row>
        <row r="982">
          <cell r="A982">
            <v>979</v>
          </cell>
          <cell r="B982" t="str">
            <v>010.000.5640.01</v>
          </cell>
          <cell r="E982" t="str">
            <v>Efavirenz, emtricitabina, tenofovir disoproxilo. Tableta. Cada tableta contiene: Efavirenz 600 mg. Emtricitabina 200 mg. Tenofovir disoproxil succinato 300.6 mg equivalente a 245 mg. de Tenofovir disoproxil. Envase con 30 tabletas.</v>
          </cell>
          <cell r="U982">
            <v>69695</v>
          </cell>
          <cell r="V982">
            <v>174236</v>
          </cell>
        </row>
        <row r="983">
          <cell r="A983">
            <v>980</v>
          </cell>
          <cell r="B983" t="str">
            <v>010.000.5655.00</v>
          </cell>
          <cell r="E983" t="str">
            <v>PAZOPANIB. TABLETA CADA TABLETA CONTIENE: CLORHIDRATO DE PAZOPANIB EQUIVALENTE A 400 MG DE PAZOPANIB ENVASE CON 60 TABLETAS.</v>
          </cell>
          <cell r="U983">
            <v>863</v>
          </cell>
          <cell r="V983">
            <v>2156</v>
          </cell>
        </row>
        <row r="984">
          <cell r="A984">
            <v>981</v>
          </cell>
          <cell r="B984" t="str">
            <v>010.000.5656.00</v>
          </cell>
          <cell r="E984" t="str">
            <v>Everolimus. Comprimido Cada Comprimido contiene: Everolimus 2.5 mg Envase con 30 Comprimidos.</v>
          </cell>
          <cell r="U984">
            <v>161</v>
          </cell>
          <cell r="V984">
            <v>402</v>
          </cell>
        </row>
        <row r="985">
          <cell r="A985">
            <v>982</v>
          </cell>
          <cell r="B985" t="str">
            <v>010.000.5657.00</v>
          </cell>
          <cell r="E985" t="str">
            <v>ABIRATERONA. TABLETA CADA TABLETA CONTIENE: ACETATO DE ABIRATERONA 250 MG. ENVASE CON 120 TABLETAS.</v>
          </cell>
          <cell r="U985">
            <v>15547</v>
          </cell>
          <cell r="V985">
            <v>38865</v>
          </cell>
        </row>
        <row r="986">
          <cell r="A986">
            <v>983</v>
          </cell>
          <cell r="B986" t="str">
            <v>010.000.5658.00</v>
          </cell>
          <cell r="E986" t="str">
            <v>Cabazitaxel. Solución Inyectable. Cada frasco ámpula contiene: Cabazitaxel acetona solvato 60 mg Envase con un frasco ámpula con 1.5 ml y un frasco ámpula con 4.5 ml de diluyente.</v>
          </cell>
          <cell r="U986">
            <v>2622</v>
          </cell>
          <cell r="V986">
            <v>6554</v>
          </cell>
        </row>
        <row r="987">
          <cell r="A987">
            <v>984</v>
          </cell>
          <cell r="B987" t="str">
            <v>010.000.5660.00</v>
          </cell>
          <cell r="E987" t="str">
            <v>Lacosamida. Tableta Cada Tableta contiene: Lacosamida 50 mg Envase con 14 Tabletas.</v>
          </cell>
          <cell r="U987">
            <v>14341</v>
          </cell>
          <cell r="V987">
            <v>35850</v>
          </cell>
        </row>
        <row r="988">
          <cell r="A988">
            <v>985</v>
          </cell>
          <cell r="B988" t="str">
            <v>010.000.5661.00</v>
          </cell>
          <cell r="E988" t="str">
            <v>Lacosamida. Tableta Cada Tableta contiene: Lacosamida 100 mg Envase con 28 Tabletas.</v>
          </cell>
          <cell r="U988">
            <v>56317</v>
          </cell>
          <cell r="V988">
            <v>140790</v>
          </cell>
        </row>
        <row r="989">
          <cell r="A989">
            <v>986</v>
          </cell>
          <cell r="B989" t="str">
            <v>010.000.5662.00</v>
          </cell>
          <cell r="E989" t="str">
            <v>Lacosamida. Tableta Cada Tableta contiene: Lacosamida 150 mg Envase con 28 Tabletas.</v>
          </cell>
          <cell r="U989">
            <v>6004</v>
          </cell>
          <cell r="V989">
            <v>15007</v>
          </cell>
        </row>
        <row r="990">
          <cell r="A990">
            <v>987</v>
          </cell>
          <cell r="B990" t="str">
            <v>010.000.5663.00</v>
          </cell>
          <cell r="E990" t="str">
            <v>Lacosamida. Tableta Cada Tableta contiene: Lacosamida 200 mg Envase con 28 Tabletas.</v>
          </cell>
          <cell r="U990">
            <v>34287</v>
          </cell>
          <cell r="V990">
            <v>85714</v>
          </cell>
        </row>
        <row r="991">
          <cell r="A991">
            <v>988</v>
          </cell>
          <cell r="B991" t="str">
            <v>010.000.5665.00</v>
          </cell>
          <cell r="E991" t="str">
            <v>RASAGILINA. TABLETA CADA TABLETA CONTIENE: MESILATO O TARTRATO DE RASAGILINA EQUIVALENTE A 1 MG DE RASAGILINA. ENVASE CON 30 TABLETAS.</v>
          </cell>
          <cell r="U991">
            <v>30560</v>
          </cell>
          <cell r="V991">
            <v>76397</v>
          </cell>
        </row>
        <row r="992">
          <cell r="A992">
            <v>989</v>
          </cell>
          <cell r="B992" t="str">
            <v>010.000.5666.00</v>
          </cell>
          <cell r="E992" t="str">
            <v>TOXINA BOTULÍNICA TIPO A. SOLUCIÓN INYECTABLE. Cada frasco ámpula con polvo contiene: Toxina onabotulínica A 100 U*. *Complejo purificado de neurotoxina (900 KD) 100 U de toxina onabotulínica A contienen 4.8 ng de complejo purificado de neurotoxina. Envase con un frasco ámpula.</v>
          </cell>
          <cell r="U992">
            <v>16003</v>
          </cell>
          <cell r="V992">
            <v>40005</v>
          </cell>
        </row>
        <row r="993">
          <cell r="A993">
            <v>990</v>
          </cell>
          <cell r="B993" t="str">
            <v>010.000.5671.00</v>
          </cell>
          <cell r="E993" t="str">
            <v>Rifaximina. Tableta Cada Tableta contiene: Rifaximina 200 mg Envase con 28 Tabletas.</v>
          </cell>
          <cell r="U993">
            <v>145427</v>
          </cell>
          <cell r="V993">
            <v>363564</v>
          </cell>
        </row>
        <row r="994">
          <cell r="A994">
            <v>991</v>
          </cell>
          <cell r="B994" t="str">
            <v>010.000.5671.02</v>
          </cell>
          <cell r="E994" t="str">
            <v>Rifaximina. Tableta Cada Tableta contiene: Rifaximina 550 mg Envase con 14 Tabletas.</v>
          </cell>
          <cell r="U994">
            <v>31898</v>
          </cell>
          <cell r="V994">
            <v>79744</v>
          </cell>
        </row>
        <row r="995">
          <cell r="A995">
            <v>992</v>
          </cell>
          <cell r="B995" t="str">
            <v>010.000.5692.00</v>
          </cell>
          <cell r="E995" t="str">
            <v>SOLUCION INYECTABLE. CADA FRASCO ÁMPULA CONTIENE: ERITROPOYETINA HUMANA RECOMBINANTE. 50 000 UI. ENVASE CON UN FRASCO ÁMPULA.</v>
          </cell>
          <cell r="U995">
            <v>20</v>
          </cell>
          <cell r="V995">
            <v>50</v>
          </cell>
        </row>
        <row r="996">
          <cell r="A996">
            <v>993</v>
          </cell>
          <cell r="B996" t="str">
            <v>010.000.5697.00</v>
          </cell>
          <cell r="E996" t="str">
            <v>Inmunoglobulina humana. Solución Inyectable Cada frasco ámpula contiene: Inmunoglobulina humana normal endovenosa 5.0 g Envase con un frasco ámpula con 50 ml.</v>
          </cell>
          <cell r="U996">
            <v>207771</v>
          </cell>
          <cell r="V996">
            <v>519425</v>
          </cell>
        </row>
        <row r="997">
          <cell r="A997">
            <v>994</v>
          </cell>
          <cell r="B997" t="str">
            <v>010.000.5698.00</v>
          </cell>
          <cell r="E997" t="str">
            <v>Inmunoglobulina humana. Solución Inyectable Cada frasco ámpula contiene: Inmunoglobulina humana normal endovenosa 10.0 g Envase con un frasco ámpula con 100 ml.</v>
          </cell>
          <cell r="U997">
            <v>19472</v>
          </cell>
          <cell r="V997">
            <v>48678</v>
          </cell>
        </row>
        <row r="998">
          <cell r="A998">
            <v>995</v>
          </cell>
          <cell r="B998" t="str">
            <v>010.000.5699.00</v>
          </cell>
          <cell r="E998" t="str">
            <v>Etoricoxib. Comprimido Cada Comprimido contiene: Etoricoxib 90 mg Envase con 28 Comprimidos.</v>
          </cell>
          <cell r="U998">
            <v>1100165</v>
          </cell>
          <cell r="V998">
            <v>2750411</v>
          </cell>
        </row>
        <row r="999">
          <cell r="A999">
            <v>996</v>
          </cell>
          <cell r="B999" t="str">
            <v>010.000.5701.00</v>
          </cell>
          <cell r="E999" t="str">
            <v>VILDAGLIPTINA METFORMINA. COMPRIMIDO CADA COMPRIMIDO CONTIENE: VILDAGLIPTINA 50 MG CLORHIDRATO DE METFORMINA 850 MG ENVASE CON 30 COMPRIMIDOS.</v>
          </cell>
          <cell r="U999">
            <v>286703</v>
          </cell>
          <cell r="V999">
            <v>716755</v>
          </cell>
        </row>
        <row r="1000">
          <cell r="A1000">
            <v>997</v>
          </cell>
          <cell r="B1000" t="str">
            <v>010.000.5702.00</v>
          </cell>
          <cell r="E1000" t="str">
            <v>Vildagliptina metformina. Comprimido Cada Comprimido contiene: Vildagliptina 50 mg Clorhidrato de metformina 1000 mg Envase con 30 Comprimidos.</v>
          </cell>
          <cell r="U1000">
            <v>64664</v>
          </cell>
          <cell r="V1000">
            <v>161658</v>
          </cell>
        </row>
        <row r="1001">
          <cell r="A1001">
            <v>998</v>
          </cell>
          <cell r="B1001" t="str">
            <v>010.000.5703.00</v>
          </cell>
          <cell r="E1001" t="str">
            <v>Sitagliptina metformina. Comprimido Cada Comprimido contiene: Fosfato de sitagliptina monohidratada equivalente a 50 mg de sitagliptina Clorhidrato de metformina 850 mg Envase con 28 Comprimidos.</v>
          </cell>
          <cell r="U1001">
            <v>8316</v>
          </cell>
          <cell r="V1001">
            <v>20788</v>
          </cell>
        </row>
        <row r="1002">
          <cell r="A1002">
            <v>999</v>
          </cell>
          <cell r="B1002" t="str">
            <v>010.000.5704.00</v>
          </cell>
          <cell r="E1002" t="str">
            <v>Sitagliptina metformina. Comprimido Cada Comprimido contiene: Fosfato de sitagliptina monohidratada equivalente a 50 mg de sitagliptina Clorhidrato de metformina 1000 mg Envase con 56 Comprimidos.</v>
          </cell>
          <cell r="U1002">
            <v>1280</v>
          </cell>
          <cell r="V1002">
            <v>3200</v>
          </cell>
        </row>
        <row r="1003">
          <cell r="A1003">
            <v>1000</v>
          </cell>
          <cell r="B1003" t="str">
            <v>010.000.5705.00</v>
          </cell>
          <cell r="E1003" t="str">
            <v>Sitagliptina metformina. Comprimido Cada Comprimido contiene: Fosfato de sitagliptina monohidratada equivalente a 50 mg de sitagliptina Clorhidrato de metformina 500 mg Envase con 28 Comprimidos.</v>
          </cell>
          <cell r="U1003">
            <v>1516</v>
          </cell>
          <cell r="V1003">
            <v>3790</v>
          </cell>
        </row>
        <row r="1004">
          <cell r="A1004">
            <v>1001</v>
          </cell>
          <cell r="B1004" t="str">
            <v>010.000.5705.01</v>
          </cell>
          <cell r="E1004" t="str">
            <v>SITAGLIPTINA METFORMINA. COMPRIMIDO CADA COMPRIMIDO CONTIENE: FOSFATO DE SITAGLIPTINA MONOHIDRATADA EQUIVALENTE A 50 MG DE SITAGLIPTINA CLORHIDRATO DE METFORMINA 500 MG ENVASE CON 56 COMPRIMIDOS.</v>
          </cell>
          <cell r="U1004">
            <v>8</v>
          </cell>
          <cell r="V1004">
            <v>18</v>
          </cell>
        </row>
        <row r="1005">
          <cell r="A1005">
            <v>1002</v>
          </cell>
          <cell r="B1005" t="str">
            <v>010.000.5720.01</v>
          </cell>
          <cell r="E1005" t="str">
            <v>Paracetamol solución inyectable cada frasco contiene: paracetamol 500 mg. Envase con cuatro frascos con 50 ml.</v>
          </cell>
          <cell r="U1005">
            <v>23310</v>
          </cell>
          <cell r="V1005">
            <v>58274</v>
          </cell>
        </row>
        <row r="1006">
          <cell r="A1006">
            <v>1003</v>
          </cell>
          <cell r="B1006" t="str">
            <v>010.000.5720.02</v>
          </cell>
          <cell r="E1006" t="str">
            <v>PARACETAMOL SOLUCIÓN INYECTABLE CADA FRASCO CONTIENE: PARACETAMOL 500 MG. ENVASE CON DIEZ FRASCOS CON 50 ML.</v>
          </cell>
          <cell r="U1006">
            <v>803417</v>
          </cell>
          <cell r="V1006">
            <v>2008541</v>
          </cell>
        </row>
        <row r="1007">
          <cell r="A1007">
            <v>1004</v>
          </cell>
          <cell r="B1007" t="str">
            <v>010.000.5721.01</v>
          </cell>
          <cell r="E1007" t="str">
            <v>Paracetamol solución inyectable cada frasco contiene: paracetamol 1 g. Envase con cuatro frascos con 100 ml.</v>
          </cell>
          <cell r="U1007">
            <v>506495</v>
          </cell>
          <cell r="V1007">
            <v>1266234</v>
          </cell>
        </row>
        <row r="1008">
          <cell r="A1008">
            <v>1005</v>
          </cell>
          <cell r="B1008" t="str">
            <v>010.000.5721.02</v>
          </cell>
          <cell r="E1008" t="str">
            <v>Paracetamol SOLUCIÓN INYECTABLE Cada frasco contiene: Paracetamol 1 g. Envase con diez frascos con 100 ml.</v>
          </cell>
          <cell r="U1008">
            <v>1825681</v>
          </cell>
          <cell r="V1008">
            <v>4564199</v>
          </cell>
        </row>
        <row r="1009">
          <cell r="A1009">
            <v>1006</v>
          </cell>
          <cell r="B1009" t="str">
            <v>010.000.5730.00</v>
          </cell>
          <cell r="E1009" t="str">
            <v>Ticagrelor. Tableta Cada Tableta contiene: Ticagrelor 90 mg Envase con 30 Tabletas</v>
          </cell>
          <cell r="U1009">
            <v>10866</v>
          </cell>
          <cell r="V1009">
            <v>27165</v>
          </cell>
        </row>
        <row r="1010">
          <cell r="A1010">
            <v>1007</v>
          </cell>
          <cell r="B1010" t="str">
            <v>010.000.5730.01</v>
          </cell>
          <cell r="E1010" t="str">
            <v>Ticagrelor. Tableta Cada Tableta contiene: Ticagrelor 90 mg Envase con 60 Tabletas</v>
          </cell>
          <cell r="U1010">
            <v>115674</v>
          </cell>
          <cell r="V1010">
            <v>289184</v>
          </cell>
        </row>
        <row r="1011">
          <cell r="A1011">
            <v>1008</v>
          </cell>
          <cell r="B1011" t="str">
            <v>010.000.5731.00</v>
          </cell>
          <cell r="E1011" t="str">
            <v>Apixabán. Tableta Cada Tableta contiene: Apixabán 2.5 mg Envase con 20 Tabletas.</v>
          </cell>
          <cell r="U1011">
            <v>150388</v>
          </cell>
          <cell r="V1011">
            <v>375967</v>
          </cell>
        </row>
        <row r="1012">
          <cell r="A1012">
            <v>1009</v>
          </cell>
          <cell r="B1012" t="str">
            <v>010.000.5731.01</v>
          </cell>
          <cell r="E1012" t="str">
            <v>Apixabán. Tableta Cada Tableta contiene: Apixabán 2.5 mg Envase con 60 Tabletas.</v>
          </cell>
          <cell r="U1012">
            <v>126950</v>
          </cell>
          <cell r="V1012">
            <v>317374</v>
          </cell>
        </row>
        <row r="1013">
          <cell r="A1013">
            <v>1010</v>
          </cell>
          <cell r="B1013" t="str">
            <v>010.000.5732.00</v>
          </cell>
          <cell r="E1013" t="str">
            <v>Apixabán. Tableta Cada Tableta contiene: Apixabán 5 mg Envase con 20 Tabletas.</v>
          </cell>
          <cell r="U1013">
            <v>1898</v>
          </cell>
          <cell r="V1013">
            <v>4743</v>
          </cell>
        </row>
        <row r="1014">
          <cell r="A1014">
            <v>1011</v>
          </cell>
          <cell r="B1014" t="str">
            <v>010.000.5732.01</v>
          </cell>
          <cell r="E1014" t="str">
            <v>Apixabán. Tableta Cada Tableta contiene: Apixabán 5 mg Envase con 60 Tabletas.</v>
          </cell>
          <cell r="U1014">
            <v>165198</v>
          </cell>
          <cell r="V1014">
            <v>412992</v>
          </cell>
        </row>
        <row r="1015">
          <cell r="A1015">
            <v>1012</v>
          </cell>
          <cell r="B1015" t="str">
            <v>010.000.5740.00</v>
          </cell>
          <cell r="E1015" t="str">
            <v>Linagliptina/metformina. Tableta Cada Tableta contiene: Linagliptina 2.5 mg Clorhidrato de Metformina 500 mg Envase con 60 Tabletas</v>
          </cell>
          <cell r="U1015">
            <v>119</v>
          </cell>
          <cell r="V1015">
            <v>295</v>
          </cell>
        </row>
        <row r="1016">
          <cell r="A1016">
            <v>1013</v>
          </cell>
          <cell r="B1016" t="str">
            <v>010.000.5740.01</v>
          </cell>
          <cell r="E1016" t="str">
            <v>METFORMINA/ LINAGLIPTINA. TABLETA Cada tableta contiene: Clorhidrato de Metformina 500 mg Linagliptina 2.5 mg Envase con 30 tabletas.</v>
          </cell>
          <cell r="U1016">
            <v>266</v>
          </cell>
          <cell r="V1016">
            <v>663</v>
          </cell>
        </row>
        <row r="1017">
          <cell r="A1017">
            <v>1014</v>
          </cell>
          <cell r="B1017" t="str">
            <v>010.000.5742.00</v>
          </cell>
          <cell r="E1017" t="str">
            <v>Linagliptina/metformina. Tableta Cada Tableta contiene: Linagliptina 2.5 mg Clorhidrato de Metformina 1000 mg Envase con 60 Tabletas</v>
          </cell>
          <cell r="U1017">
            <v>858</v>
          </cell>
          <cell r="V1017">
            <v>2144</v>
          </cell>
        </row>
        <row r="1018">
          <cell r="A1018">
            <v>1015</v>
          </cell>
          <cell r="B1018" t="str">
            <v>010.000.5750.00</v>
          </cell>
          <cell r="E1018" t="str">
            <v>SOMATROPINA. SOLUCION INYECTABLE CADA MILILITRO CONTIENE: SOMATROPINA 3.30 MG ENVASE CON UNA PLUMA PRELLENADA CON 1.5 ML (5 MG/1.5 ML).</v>
          </cell>
          <cell r="U1018">
            <v>1016</v>
          </cell>
          <cell r="V1018">
            <v>2540</v>
          </cell>
        </row>
        <row r="1019">
          <cell r="A1019">
            <v>1016</v>
          </cell>
          <cell r="B1019" t="str">
            <v>010.000.5751.00</v>
          </cell>
          <cell r="E1019" t="str">
            <v>Somatropina. Solución Inyectable Cada mililitro contiene: Somatropina 6.70 mg Envase con una pluma precargada con 1.5 ml (10 mg/1.5 ml)</v>
          </cell>
          <cell r="U1019">
            <v>7720</v>
          </cell>
          <cell r="V1019">
            <v>19297</v>
          </cell>
        </row>
        <row r="1020">
          <cell r="A1020">
            <v>1017</v>
          </cell>
          <cell r="B1020" t="str">
            <v>010.000.5752.00</v>
          </cell>
          <cell r="E1020" t="str">
            <v>SOMATROPINA. SOLUCION INYECTABLE CADA MILILITRO CONTIENE: SOMATROPINA 10.0 MG ENVASE CON UNA PLUMA PRELLENADA CON 1.5 ML (15 MG/1.5 ML).</v>
          </cell>
          <cell r="U1020">
            <v>1166</v>
          </cell>
          <cell r="V1020">
            <v>2914</v>
          </cell>
        </row>
        <row r="1021">
          <cell r="A1021">
            <v>1018</v>
          </cell>
          <cell r="B1021" t="str">
            <v>010.000.5760.00</v>
          </cell>
          <cell r="E1021" t="str">
            <v>MOROCTOCOG ALFA. SOLUCION INYECTABLE. CADA FRASCO AMPULA CONTIENE: MOROCTOCOGALFA 250 UI. ENVASE CON UN FRASCO AMPULA Y UNA JERINGA PRELLENADA CON 4 ML DEDILUYENTE.</v>
          </cell>
          <cell r="U1021">
            <v>1752</v>
          </cell>
          <cell r="V1021">
            <v>4379</v>
          </cell>
        </row>
        <row r="1022">
          <cell r="A1022">
            <v>1019</v>
          </cell>
          <cell r="B1022" t="str">
            <v>010.000.5761.00</v>
          </cell>
          <cell r="E1022" t="str">
            <v>MOROCTOCOG ALFA. SOLUCION INYECTABLE. CADA FRASCO AMPULA CONTIENE: MOROCTOCOGALFA 500 UI. ENVASE CON UN FRASCO AMPULA Y UNA JERINGA PRELLENADA CON 4 ML DEDILUYENTE.</v>
          </cell>
          <cell r="U1022">
            <v>2612</v>
          </cell>
          <cell r="V1022">
            <v>6526</v>
          </cell>
        </row>
        <row r="1023">
          <cell r="A1023">
            <v>1020</v>
          </cell>
          <cell r="B1023" t="str">
            <v>010.000.5801.00</v>
          </cell>
          <cell r="E1023" t="str">
            <v>Irbesartán amlodipino. Tableta Cada Tableta contiene: Irbesartán 150 mg Besilato de amlodipino equivalente a 5 mg de amlodipino Envase con 28 Tabletas.</v>
          </cell>
          <cell r="U1023">
            <v>1168</v>
          </cell>
          <cell r="V1023">
            <v>2917</v>
          </cell>
        </row>
        <row r="1024">
          <cell r="A1024">
            <v>1021</v>
          </cell>
          <cell r="B1024" t="str">
            <v>010.000.5802.00</v>
          </cell>
          <cell r="E1024" t="str">
            <v>Irbesartán amlodipino. Tableta Cada Tableta contiene: Irbesartán 300 mg Besilato de amlodipino equivalente a 5 mg de amlodipino Envase con 28 Tabletas.</v>
          </cell>
          <cell r="U1024">
            <v>7940</v>
          </cell>
          <cell r="V1024">
            <v>19849</v>
          </cell>
        </row>
        <row r="1025">
          <cell r="A1025">
            <v>1022</v>
          </cell>
          <cell r="B1025" t="str">
            <v>010.000.5835.00</v>
          </cell>
          <cell r="E1025" t="str">
            <v>Cinacalcet. Tableta Cada Tableta contiene: Cinacalcet 30 mg Envase con 30 Tabletas.</v>
          </cell>
          <cell r="U1025">
            <v>14944</v>
          </cell>
          <cell r="V1025">
            <v>37358</v>
          </cell>
        </row>
        <row r="1026">
          <cell r="A1026">
            <v>1023</v>
          </cell>
          <cell r="B1026" t="str">
            <v>010.000.5862.00</v>
          </cell>
          <cell r="E1026" t="str">
            <v>Darunavir. Tableta. Cada tableta contiene: Etanolato de darunavir equivalente a 150 mg de darunavir Envase con 240 Tabletas</v>
          </cell>
          <cell r="U1026">
            <v>106</v>
          </cell>
          <cell r="V1026">
            <v>261</v>
          </cell>
        </row>
        <row r="1027">
          <cell r="A1027">
            <v>1024</v>
          </cell>
          <cell r="B1027" t="str">
            <v>010.000.5865.00</v>
          </cell>
          <cell r="E1027" t="str">
            <v>Colistimetato. Solución Inyectable Cada frasco ámpula con liofilizado contiene: Colistimetato sódico equivalente a 150 mg de colistimetato Envase con un frasco ámpula con liofilizado.</v>
          </cell>
          <cell r="U1027">
            <v>103081</v>
          </cell>
          <cell r="V1027">
            <v>257701</v>
          </cell>
        </row>
        <row r="1028">
          <cell r="A1028">
            <v>1025</v>
          </cell>
          <cell r="B1028" t="str">
            <v>010.000.5880.00</v>
          </cell>
          <cell r="E1028" t="str">
            <v>Fulvestrant. Solución Inyectable. Cada jeringa prellenada contiene: Fulvestrant 250 mg Envase con 2 Jeringas. prellenadas con 5 ml cada una.</v>
          </cell>
          <cell r="U1028">
            <v>23391</v>
          </cell>
          <cell r="V1028">
            <v>58476</v>
          </cell>
        </row>
        <row r="1029">
          <cell r="A1029">
            <v>1026</v>
          </cell>
          <cell r="B1029" t="str">
            <v>010.000.5887.00</v>
          </cell>
          <cell r="E1029" t="str">
            <v>AZACITIDINA SUSPENSIÓN INYECTABLE CADA FRASCO ÁMPULA CON LIOFILIZADO CONTIENE: AZACITIDINA 100 MG. ENVASE CON UN FRASCO ÁMPULA CON LIOFILIZADO.</v>
          </cell>
          <cell r="U1029">
            <v>20050</v>
          </cell>
          <cell r="V1029">
            <v>50124</v>
          </cell>
        </row>
        <row r="1030">
          <cell r="A1030">
            <v>1027</v>
          </cell>
          <cell r="B1030" t="str">
            <v>010.000.5931.00</v>
          </cell>
          <cell r="E1030" t="str">
            <v>Enoxaparina sódica. Solución Inyectable Cada jeringa contiene: Enoxaparina sódica 80 mg Envase con 2 Jeringas. con dispositivo de seguridad de 0.8 ml.</v>
          </cell>
          <cell r="U1030">
            <v>7777</v>
          </cell>
          <cell r="V1030">
            <v>19441</v>
          </cell>
        </row>
        <row r="1031">
          <cell r="A1031">
            <v>1028</v>
          </cell>
          <cell r="B1031" t="str">
            <v>010.000.5931.01</v>
          </cell>
          <cell r="E1031" t="str">
            <v>ENOXAPARINA SODICA 80 mg.</v>
          </cell>
          <cell r="U1031">
            <v>20</v>
          </cell>
          <cell r="V1031">
            <v>48</v>
          </cell>
        </row>
        <row r="1032">
          <cell r="A1032">
            <v>1029</v>
          </cell>
          <cell r="B1032" t="str">
            <v>010.000.5940.00</v>
          </cell>
          <cell r="E1032" t="str">
            <v>Ibuprofeno. Tableta O Cápsula Cada Tableta o Cápsula contiene: Ibuprofeno 200 mgEnvase con 10 Tabletas o Cápsulas</v>
          </cell>
          <cell r="U1032">
            <v>38487</v>
          </cell>
          <cell r="V1032">
            <v>96214</v>
          </cell>
        </row>
        <row r="1033">
          <cell r="A1033">
            <v>1030</v>
          </cell>
          <cell r="B1033" t="str">
            <v>010.000.5940.01</v>
          </cell>
          <cell r="E1033" t="str">
            <v>Ibuprofeno. Tableta O Cápsula Cada Tableta o Cápsula contiene: Ibuprofeno 200 mgEnvase con 12 Tabletas.</v>
          </cell>
          <cell r="U1033">
            <v>80</v>
          </cell>
          <cell r="V1033">
            <v>200</v>
          </cell>
        </row>
        <row r="1034">
          <cell r="A1034">
            <v>1031</v>
          </cell>
          <cell r="B1034" t="str">
            <v>010.000.5940.02</v>
          </cell>
          <cell r="E1034" t="str">
            <v>Ibuprofeno. Tableta O Cápsula Cada Tableta o Cápsula contiene: Ibuprofeno 200 mgEnvase con 20 Tabletas o Cápsulas</v>
          </cell>
          <cell r="U1034">
            <v>336850</v>
          </cell>
          <cell r="V1034">
            <v>842122</v>
          </cell>
        </row>
        <row r="1035">
          <cell r="A1035">
            <v>1032</v>
          </cell>
          <cell r="B1035" t="str">
            <v>010.000.5940.03</v>
          </cell>
          <cell r="E1035" t="str">
            <v>Ibuprofeno. Tableta O Cápsula Cada Tableta o Cápsula contiene: Ibuprofeno 200 mgEnvase con 30 Cápsulas</v>
          </cell>
          <cell r="U1035">
            <v>2</v>
          </cell>
          <cell r="V1035">
            <v>3</v>
          </cell>
        </row>
        <row r="1036">
          <cell r="A1036">
            <v>1033</v>
          </cell>
          <cell r="B1036" t="str">
            <v>010.000.5941.00</v>
          </cell>
          <cell r="E1036" t="str">
            <v>Ibuprofeno. Tableta O Cápsula: Cada Tableta o Cápsula contiene: Ibuprofeno 400 mg Envase con 10 Tabletas o Cápsulas</v>
          </cell>
          <cell r="U1036">
            <v>1511896</v>
          </cell>
          <cell r="V1036">
            <v>3779737</v>
          </cell>
        </row>
        <row r="1037">
          <cell r="A1037">
            <v>1034</v>
          </cell>
          <cell r="B1037" t="str">
            <v>010.000.5941.01</v>
          </cell>
          <cell r="E1037" t="str">
            <v>Ibuprofeno. Tableta O Cápsula: Cada Tableta o Cápsula contiene: Ibuprofeno 400 mg Envase con 12 Tabletas</v>
          </cell>
          <cell r="U1037">
            <v>26</v>
          </cell>
          <cell r="V1037">
            <v>63</v>
          </cell>
        </row>
        <row r="1038">
          <cell r="A1038">
            <v>1035</v>
          </cell>
          <cell r="B1038" t="str">
            <v>010.000.5941.02</v>
          </cell>
          <cell r="E1038" t="str">
            <v>Ibuprofeno. Tableta O Cápsula: Cada Tableta o Cápsula contiene: Ibuprofeno 400 mg Envase con 20 Cápsulas</v>
          </cell>
          <cell r="U1038">
            <v>88605</v>
          </cell>
          <cell r="V1038">
            <v>221510</v>
          </cell>
        </row>
        <row r="1039">
          <cell r="A1039">
            <v>1036</v>
          </cell>
          <cell r="B1039" t="str">
            <v>010.000.5941.03</v>
          </cell>
          <cell r="E1039" t="str">
            <v>Ibuprofeno. Tableta O Cápsula: Cada Tableta o Cápsula contiene: Ibuprofeno 400 mg Envase con 30 Cápsulas</v>
          </cell>
          <cell r="U1039">
            <v>3906</v>
          </cell>
          <cell r="V1039">
            <v>9763</v>
          </cell>
        </row>
        <row r="1040">
          <cell r="A1040">
            <v>1037</v>
          </cell>
          <cell r="B1040" t="str">
            <v>010.000.5941.04</v>
          </cell>
          <cell r="E1040" t="str">
            <v>IBUPROFENO. TABLETA O CÁPSULA: CADA TABLETA O CÁPSULA CONTIENE: IBUPROFENO 400 MG ENVASE CON 36 TABLETAS</v>
          </cell>
          <cell r="U1040">
            <v>305</v>
          </cell>
          <cell r="V1040">
            <v>760</v>
          </cell>
        </row>
        <row r="1041">
          <cell r="A1041">
            <v>1038</v>
          </cell>
          <cell r="B1041" t="str">
            <v>010.000.5942.00</v>
          </cell>
          <cell r="E1041" t="str">
            <v>Ibuprofeno. Tableta O Cápsula: Cada Tableta o Cápsula contiene: Ibuprofeno 600 mg Envase con 10 Cápsulas</v>
          </cell>
          <cell r="U1041">
            <v>1107586</v>
          </cell>
          <cell r="V1041">
            <v>2768964</v>
          </cell>
        </row>
        <row r="1042">
          <cell r="A1042">
            <v>1039</v>
          </cell>
          <cell r="B1042" t="str">
            <v>010.000.5942.01</v>
          </cell>
          <cell r="E1042" t="str">
            <v>Ibuprofeno. Tableta O Cápsula: Cada Tableta o Cápsula contiene: Ibuprofeno 600 mg Envase con 12 Tabletas</v>
          </cell>
          <cell r="U1042">
            <v>14</v>
          </cell>
          <cell r="V1042">
            <v>33</v>
          </cell>
        </row>
        <row r="1043">
          <cell r="A1043">
            <v>1040</v>
          </cell>
          <cell r="B1043" t="str">
            <v>010.000.5942.02</v>
          </cell>
          <cell r="E1043" t="str">
            <v>Ibuprofeno. Tableta O Cápsula: Cada Tableta o Cápsula contiene: Ibuprofeno 600 mg Envase con 20 Cápsulas</v>
          </cell>
          <cell r="U1043">
            <v>4309</v>
          </cell>
          <cell r="V1043">
            <v>10771</v>
          </cell>
        </row>
        <row r="1044">
          <cell r="A1044">
            <v>1041</v>
          </cell>
          <cell r="B1044" t="str">
            <v>010.000.5942.03</v>
          </cell>
          <cell r="E1044" t="str">
            <v>IBUPROFENO. TABLETA O CÁPSULA: CADA TABLETA O CÁPSULA CONTIENE: IBUPROFENO 600 MG ENVASE CON 24 TABLETAS</v>
          </cell>
          <cell r="U1044">
            <v>99</v>
          </cell>
          <cell r="V1044">
            <v>245</v>
          </cell>
        </row>
        <row r="1045">
          <cell r="A1045">
            <v>1042</v>
          </cell>
          <cell r="B1045" t="str">
            <v>010.000.5942.04</v>
          </cell>
          <cell r="E1045" t="str">
            <v>Ibuprofeno. Tableta O Cápsula: Cada Tableta o Cápsula contiene: Ibuprofeno 600 mg Envase con 30 Tabletas o Cápsulas</v>
          </cell>
          <cell r="U1045">
            <v>1283</v>
          </cell>
          <cell r="V1045">
            <v>3206</v>
          </cell>
        </row>
        <row r="1046">
          <cell r="A1046">
            <v>1043</v>
          </cell>
          <cell r="B1046" t="str">
            <v>010.000.5943.00</v>
          </cell>
          <cell r="E1046" t="str">
            <v>Ibuprofeno. Suspensión Oral Cada 100 ml contienen: Ibuprofeno 2 g Envase con 120 ml y medida dosificadora</v>
          </cell>
          <cell r="U1046">
            <v>1147266</v>
          </cell>
          <cell r="V1046">
            <v>2868163</v>
          </cell>
        </row>
        <row r="1047">
          <cell r="A1047">
            <v>1044</v>
          </cell>
          <cell r="B1047" t="str">
            <v>010.000.5944.00</v>
          </cell>
          <cell r="E1047" t="str">
            <v>Ibuprofeno. Suspensión Oral Cada mililitro contiene: Ibuprofeno 40 mg Envase con 15 ml con gotero calibrado integrado o adjunto al envase que le sirve de tapa.</v>
          </cell>
          <cell r="U1047">
            <v>266983</v>
          </cell>
          <cell r="V1047">
            <v>667455</v>
          </cell>
        </row>
        <row r="1048">
          <cell r="A1048">
            <v>1045</v>
          </cell>
          <cell r="B1048" t="str">
            <v>010.000.6000.00</v>
          </cell>
          <cell r="E1048" t="str">
            <v>Carbonato de calcio/ Vitamina D3. Tableta. Cada tableta contiene: Carbonato de calcio 1666.670 mg equivalente a 600 mg de calcio. Colecalciferol 6.2 mg equivalente a 400 UI de Vitamina D3. Envase con 30 tabletas.</v>
          </cell>
          <cell r="U1048">
            <v>2787146</v>
          </cell>
          <cell r="V1048">
            <v>6967863</v>
          </cell>
        </row>
        <row r="1049">
          <cell r="A1049">
            <v>1046</v>
          </cell>
          <cell r="B1049" t="str">
            <v>010.000.6001.00</v>
          </cell>
          <cell r="E1049" t="str">
            <v>Dienogest. Tableta. Cada tableta contiene: Dienogest 2 mg. Envase con 28 tabletas.</v>
          </cell>
          <cell r="U1049">
            <v>18165</v>
          </cell>
          <cell r="V1049">
            <v>45410</v>
          </cell>
        </row>
        <row r="1050">
          <cell r="A1050">
            <v>1047</v>
          </cell>
          <cell r="B1050" t="str">
            <v>010.000.6006.00</v>
          </cell>
          <cell r="E1050" t="str">
            <v>AXITINIB. TABLETA. CADA TABLETA CONTIENE: AXITINIB 5 MG. ENVASE CON 60 TABLETAS.</v>
          </cell>
          <cell r="U1050">
            <v>4328</v>
          </cell>
          <cell r="V1050">
            <v>10818</v>
          </cell>
        </row>
        <row r="1051">
          <cell r="A1051">
            <v>1048</v>
          </cell>
          <cell r="B1051" t="str">
            <v>010.000.6007.00</v>
          </cell>
          <cell r="E1051" t="str">
            <v>Dapagliflozina. Tableta. Cada tableta contiene: Dapagliflozina propanodiol equivalente a 10 mg de dapagliflozina. Envase con 14 tabletas.</v>
          </cell>
          <cell r="U1051">
            <v>2147</v>
          </cell>
          <cell r="V1051">
            <v>5366</v>
          </cell>
        </row>
        <row r="1052">
          <cell r="A1052">
            <v>1049</v>
          </cell>
          <cell r="B1052" t="str">
            <v>010.000.6011.00</v>
          </cell>
          <cell r="E1052" t="str">
            <v>Misoprostol. Óvulo de liberación prolongada. Cada óvulo contiene: Misoprostol 200 µg Envase con un óvulo.</v>
          </cell>
          <cell r="U1052">
            <v>19482</v>
          </cell>
          <cell r="V1052">
            <v>48704</v>
          </cell>
        </row>
        <row r="1053">
          <cell r="A1053">
            <v>1050</v>
          </cell>
          <cell r="B1053" t="str">
            <v>010.000.6012.04</v>
          </cell>
          <cell r="E1053" t="str">
            <v>Misoprostol. Tableta. Cada tableta contiene: Misoprostol 200 µg. Envase con 12 tabletas.</v>
          </cell>
          <cell r="U1053">
            <v>50652</v>
          </cell>
          <cell r="V1053">
            <v>126630</v>
          </cell>
        </row>
        <row r="1054">
          <cell r="A1054">
            <v>1051</v>
          </cell>
          <cell r="B1054" t="str">
            <v>010.000.6012.05</v>
          </cell>
          <cell r="E1054" t="str">
            <v>Misoprostol. Tableta. Cada tableta contiene: Misoprostol 200 µg. Envase con 28 tabletas.</v>
          </cell>
          <cell r="U1054">
            <v>3704</v>
          </cell>
          <cell r="V1054">
            <v>9258</v>
          </cell>
        </row>
        <row r="1055">
          <cell r="A1055">
            <v>1052</v>
          </cell>
          <cell r="B1055" t="str">
            <v>010.000.6013.00</v>
          </cell>
          <cell r="E1055" t="str">
            <v>Denosumab. Solución inyectable. Cada frasco ámpula contiene: Denosumab 120 mg Envase con un frasco ámpula con 1.7 ml.</v>
          </cell>
          <cell r="U1055">
            <v>45118</v>
          </cell>
          <cell r="V1055">
            <v>112794</v>
          </cell>
        </row>
        <row r="1056">
          <cell r="A1056">
            <v>1053</v>
          </cell>
          <cell r="B1056" t="str">
            <v>010.000.6016.00</v>
          </cell>
          <cell r="E1056" t="str">
            <v>IPILIMUMAB. SOLUCIÓN INYECTABLE. CADA FRASCO ÁMPULA CONTIENE: IPILIMUMAB 50 MG ENVASE CON UN FRASCO ÁMPULA CON 10 ML (50 MG/10 ML).</v>
          </cell>
          <cell r="U1056">
            <v>10182</v>
          </cell>
          <cell r="V1056">
            <v>25453</v>
          </cell>
        </row>
        <row r="1057">
          <cell r="A1057">
            <v>1054</v>
          </cell>
          <cell r="B1057" t="str">
            <v>010.000.6020.01</v>
          </cell>
          <cell r="E1057" t="str">
            <v>SIMEPREVIR. CAPSULA. CADA CAPSULA CONTIENE: SIMEPREVIR SODICO EQUIVALENTE A 150MG DE SIMEPREVIR. ENVASE CON 28 CAPSULAS.</v>
          </cell>
          <cell r="U1057">
            <v>823</v>
          </cell>
          <cell r="V1057">
            <v>2054</v>
          </cell>
        </row>
        <row r="1058">
          <cell r="A1058">
            <v>1055</v>
          </cell>
          <cell r="B1058" t="str">
            <v>010.000.6022.00</v>
          </cell>
          <cell r="E1058" t="str">
            <v>Macitentán. Tableta. Cada tableta contiene: Macitentán 10 mg. Envase con 28 tabletas.</v>
          </cell>
          <cell r="U1058">
            <v>8752</v>
          </cell>
          <cell r="V1058">
            <v>21880</v>
          </cell>
        </row>
        <row r="1059">
          <cell r="A1059">
            <v>1056</v>
          </cell>
          <cell r="B1059" t="str">
            <v>010.000.6023.00</v>
          </cell>
          <cell r="E1059" t="str">
            <v>Fosaprepitant. Solución Inyectable. Cada frasco ámpula con liofilizado contiene: Fosaprepitant de dimeglumina equivalente a 150 mg de fosaprepitant. Envase con un frasco ámpula.</v>
          </cell>
          <cell r="U1059">
            <v>17668</v>
          </cell>
          <cell r="V1059">
            <v>44170</v>
          </cell>
        </row>
        <row r="1060">
          <cell r="A1060">
            <v>1057</v>
          </cell>
          <cell r="B1060" t="str">
            <v>010.000.6023.01</v>
          </cell>
          <cell r="E1060" t="str">
            <v>Fosaprepitant. Solución Inyectable. Cada frasco ámpula con liofilizado contiene: Fosaprepitant de dimeglumina equivalente a 150 mg de fosaprepitant. Envase con 10 frascos ámpula.</v>
          </cell>
          <cell r="U1060">
            <v>13704</v>
          </cell>
          <cell r="V1060">
            <v>34259</v>
          </cell>
        </row>
        <row r="1061">
          <cell r="A1061">
            <v>1058</v>
          </cell>
          <cell r="B1061" t="str">
            <v>010.000.6026.00</v>
          </cell>
          <cell r="E1061" t="str">
            <v>INMUNOGLOBULINA HUMANA NORMAL SUBCUTÁNEA. SOLUCIÓN INYECTABLE. CADA FRASCO ÁMPULA CONTIENE: INMUNOGLOBULINA HUMANA NORMAL 2 G. ENVASE CON UN FRASCO ÁMPULA CON 10 ML.</v>
          </cell>
          <cell r="U1061">
            <v>5815</v>
          </cell>
          <cell r="V1061">
            <v>14536</v>
          </cell>
        </row>
        <row r="1062">
          <cell r="A1062">
            <v>1059</v>
          </cell>
          <cell r="B1062" t="str">
            <v>010.000.6027.00</v>
          </cell>
          <cell r="E1062" t="str">
            <v>INMUNOGLOBULINA HUMANA NORMAL SUBCUTÁNEA. SOLUCIÓN INYECTABLE. CADA FRASCO ÁMPULA CONTIENE: INMUNOGLOBULINA HUMANA NORMAL 4 G. ENVASE CON UN FRASCO ÁMPULA CON 20 ML.</v>
          </cell>
          <cell r="U1062">
            <v>13171</v>
          </cell>
          <cell r="V1062">
            <v>32925</v>
          </cell>
        </row>
        <row r="1063">
          <cell r="A1063">
            <v>1060</v>
          </cell>
          <cell r="B1063" t="str">
            <v>010.000.6028.00</v>
          </cell>
          <cell r="E1063" t="str">
            <v>Pralatrexato. Solución inyectable. Cada frasco ámpula contiene: Pralatrexato 20 mg Envase con un frasco ámpula con 1 ml.</v>
          </cell>
          <cell r="U1063">
            <v>20</v>
          </cell>
          <cell r="V1063">
            <v>48</v>
          </cell>
        </row>
        <row r="1064">
          <cell r="A1064">
            <v>1061</v>
          </cell>
          <cell r="B1064" t="str">
            <v>010.000.6030.00</v>
          </cell>
          <cell r="E1064" t="str">
            <v>Triptorelina. Suspensión inyectable. Cada frasco ámpula con liofilizado contiene: Pamoato de triptorelina equivalente a 11.25 mg de triptorelina. Envase con un frasco ámpula con liofilizado y ampolleta con 2 ml de diluyente y equipo para administración.</v>
          </cell>
          <cell r="U1064">
            <v>44</v>
          </cell>
          <cell r="V1064">
            <v>108</v>
          </cell>
        </row>
        <row r="1065">
          <cell r="A1065">
            <v>1062</v>
          </cell>
          <cell r="B1065" t="str">
            <v>010.000.6031.00</v>
          </cell>
          <cell r="E1065" t="str">
            <v>CONCENTRADO DE PROTEINAS HUMANAS COAGULABLES. SOLUCION. CADA ML DE SOLUCION RECONSTITUIDA CONTIENE: FIBINOGENO HUMANO 91 MG (COMO PROTEINA COAGULABLE) APROTININA BOVINA O SINTETICA 3000 UIK TROMBINA HUMANA 500 UI CLORURO DE CALCIO 40 MICROMETROSOL ENVASE CON UN FRASCO CON LIOFILIZADO DE FIBRINOGENO (91 MG) UN FRASCO AMPULA CON 1 ML DE SOLUCION DE APROTININA BOVINA O SINTETICA (3000 UIK) COMODILUYENTE; UN FRASCO AMPULA CON LIOFILIZADO DE TROMBINA (500 UI) Y UN FRASCO AMPULA CON 1 ML DE SOLUCION DE CLORURO DE CALCIO (40 MICROMOL) COMO DILUYENTE. EQUIPO PARA RECONSTITUCION Y APLICACION.</v>
          </cell>
          <cell r="U1065">
            <v>976</v>
          </cell>
          <cell r="V1065">
            <v>2436</v>
          </cell>
        </row>
        <row r="1066">
          <cell r="A1066">
            <v>1063</v>
          </cell>
          <cell r="B1066" t="str">
            <v>010.000.6032.00</v>
          </cell>
          <cell r="E1066" t="str">
            <v>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v>
          </cell>
          <cell r="U1066">
            <v>9051</v>
          </cell>
          <cell r="V1066">
            <v>22626</v>
          </cell>
        </row>
        <row r="1067">
          <cell r="A1067">
            <v>1064</v>
          </cell>
          <cell r="B1067" t="str">
            <v>010.000.6033.00</v>
          </cell>
          <cell r="E1067" t="str">
            <v>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v>
          </cell>
          <cell r="U1067">
            <v>9775</v>
          </cell>
          <cell r="V1067">
            <v>24437</v>
          </cell>
        </row>
        <row r="1068">
          <cell r="A1068">
            <v>1065</v>
          </cell>
          <cell r="B1068" t="str">
            <v>010.000.6034.00</v>
          </cell>
          <cell r="E1068" t="str">
            <v>Mifepristona. Tableta. Cada tableta contiene: Mifepristona 200 mg. Envase con una tableta.</v>
          </cell>
          <cell r="U1068">
            <v>8955</v>
          </cell>
          <cell r="V1068">
            <v>22385</v>
          </cell>
        </row>
        <row r="1069">
          <cell r="A1069">
            <v>1066</v>
          </cell>
          <cell r="B1069" t="str">
            <v>010.000.6036.00</v>
          </cell>
          <cell r="E1069" t="str">
            <v>Acetato de glatiramer. Solcuión inyectable. Cada jeringa prellenada contiene: Acetato de glatiramer 40 mg. Envase con 12 jeringas prellenadas con 1 ml (40 mg/ml).</v>
          </cell>
          <cell r="U1069">
            <v>896</v>
          </cell>
          <cell r="V1069">
            <v>2239</v>
          </cell>
        </row>
        <row r="1070">
          <cell r="A1070">
            <v>1067</v>
          </cell>
          <cell r="B1070" t="str">
            <v>010.000.6048.00</v>
          </cell>
          <cell r="E1070" t="str">
            <v>Dimetilfumarato. Cápsula de Liberación Retardada Cada cápsula de liberación retardada contiene: Dimetilfumarato 240 mg Envase con 56 cápsulas de liberación retardada.</v>
          </cell>
          <cell r="U1070">
            <v>4756</v>
          </cell>
          <cell r="V1070">
            <v>11888</v>
          </cell>
        </row>
        <row r="1071">
          <cell r="A1071">
            <v>1068</v>
          </cell>
          <cell r="B1071" t="str">
            <v>010.000.6050.00</v>
          </cell>
          <cell r="E1071" t="str">
            <v>ACIDO ACETILSALICILICO SIMVASTATINARAMIPRIL.CAPSULA CADA CÁPSULA CONTIENE: ACIDO ACETILSALICÍLICO 100 MG SIMVASTATINA 40 MG RAMIPRIL 10 MG ENVASE CON 28 CÁPSULAS</v>
          </cell>
          <cell r="U1071">
            <v>6</v>
          </cell>
          <cell r="V1071">
            <v>13</v>
          </cell>
        </row>
        <row r="1072">
          <cell r="A1072">
            <v>1069</v>
          </cell>
          <cell r="B1072" t="str">
            <v>010.000.6053.00</v>
          </cell>
          <cell r="E1072" t="str">
            <v>Complejo de Protombina Humana. Solucion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v>
          </cell>
          <cell r="U1072">
            <v>1408</v>
          </cell>
          <cell r="V1072">
            <v>3519</v>
          </cell>
        </row>
        <row r="1073">
          <cell r="A1073">
            <v>1070</v>
          </cell>
          <cell r="B1073" t="str">
            <v>010.000.6057.00</v>
          </cell>
          <cell r="E1073" t="str">
            <v>GESTODENO / ETINILESTRADIOL.PARCHE CADA PARCHE CONTIENE: GESTODENO 2.10 MG ETINILESTRADIOL 0.55 MG ENVASE CON 3 PARCHES.</v>
          </cell>
          <cell r="U1073">
            <v>4</v>
          </cell>
          <cell r="V1073">
            <v>8</v>
          </cell>
        </row>
        <row r="1074">
          <cell r="A1074">
            <v>1071</v>
          </cell>
          <cell r="B1074" t="str">
            <v>010.000.6067.01</v>
          </cell>
          <cell r="E1074" t="str">
            <v>NINTEDANIB. CÁPSULA CADA CÁPSULA CONTIENE: NINTEDANIB ESILATO 120.4 MG EQUIVALENTE A 100.0 MG DE NINTEDANIB. ENVASE CON 120 CÁPSULAS.</v>
          </cell>
          <cell r="U1074">
            <v>44</v>
          </cell>
          <cell r="V1074">
            <v>107</v>
          </cell>
        </row>
        <row r="1075">
          <cell r="A1075">
            <v>1072</v>
          </cell>
          <cell r="B1075" t="str">
            <v>010.000.6071.00</v>
          </cell>
          <cell r="E1075" t="str">
            <v>Ivabradina. Comprimido cada comprimido contiene: Ivabradina 5 mg equivalente a 5.390 mg de clorhidrato de Ivabradina envase con 56 comprimidos</v>
          </cell>
          <cell r="U1075">
            <v>62574</v>
          </cell>
          <cell r="V1075">
            <v>156435</v>
          </cell>
        </row>
        <row r="1076">
          <cell r="A1076">
            <v>1073</v>
          </cell>
          <cell r="B1076" t="str">
            <v>010.000.6072.00</v>
          </cell>
          <cell r="E1076" t="str">
            <v>Ivabradina. comprimido cada comprimido contiene: Ivabradina 7.5 mg equivalente a 8.085 mg de clorhidrato de Ivabradina envase con 56 comprimidos</v>
          </cell>
          <cell r="U1076">
            <v>1175</v>
          </cell>
          <cell r="V1076">
            <v>2936</v>
          </cell>
        </row>
        <row r="1077">
          <cell r="A1077">
            <v>1074</v>
          </cell>
          <cell r="B1077" t="str">
            <v>010.000.6075.00</v>
          </cell>
          <cell r="E1077" t="str">
            <v>Levonorgestrel. Implante cada implante contiene: Levonorgestrel 75.0 mg envase con 2 implantes y una caja con un trócar e instructivos anexos.</v>
          </cell>
          <cell r="U1077">
            <v>290371</v>
          </cell>
          <cell r="V1077">
            <v>725926</v>
          </cell>
        </row>
        <row r="1078">
          <cell r="A1078">
            <v>1075</v>
          </cell>
          <cell r="B1078" t="str">
            <v>010.000.6076.00</v>
          </cell>
          <cell r="E1078" t="str">
            <v>Ibuprofeno. solucion inyectable cada ampolleta contiene: Ibuprofeno 10 mg envase con 4 ampolletas de 2 ml (10 mg/2 ml).</v>
          </cell>
          <cell r="U1078">
            <v>683</v>
          </cell>
          <cell r="V1078">
            <v>1705</v>
          </cell>
        </row>
        <row r="1079">
          <cell r="A1079">
            <v>1076</v>
          </cell>
          <cell r="B1079" t="str">
            <v>010.000.6077.00</v>
          </cell>
          <cell r="E1079" t="str">
            <v>Empagliflozina/metformina. Tableta cada tableta contiene: Empagliflozina 12.5 mg clorhidrato de metformina 850mg envase con 60 tabletas.</v>
          </cell>
          <cell r="U1079">
            <v>39974</v>
          </cell>
          <cell r="V1079">
            <v>99933</v>
          </cell>
        </row>
        <row r="1080">
          <cell r="A1080">
            <v>1077</v>
          </cell>
          <cell r="B1080" t="str">
            <v>010.000.6078.00</v>
          </cell>
          <cell r="E1080" t="str">
            <v>Empagliflozina/metformina. Tableta cada tableta contiene: Empagliflozina 5 mg clorhidrato de metformina 850mg envase con 60 tabletas.</v>
          </cell>
          <cell r="U1080">
            <v>596</v>
          </cell>
          <cell r="V1080">
            <v>1490</v>
          </cell>
        </row>
        <row r="1081">
          <cell r="A1081">
            <v>1078</v>
          </cell>
          <cell r="B1081" t="str">
            <v>010.000.6079.00</v>
          </cell>
          <cell r="E1081" t="str">
            <v>Empagliflozina/metformina. Tableta cada tableta contiene: Empagliflozina 12.5 mg clorhidrato de metformina 1000 mg envase con 60 tabletas</v>
          </cell>
          <cell r="U1081">
            <v>220</v>
          </cell>
          <cell r="V1081">
            <v>550</v>
          </cell>
        </row>
        <row r="1082">
          <cell r="A1082">
            <v>1079</v>
          </cell>
          <cell r="B1082" t="str">
            <v>010.000.6081.00</v>
          </cell>
          <cell r="E1082" t="str">
            <v>Dimetilfumarato. Cápsula de liberación retardada Cada cápsula de liberación retardada contiene: Dimetilfumarato 120 mg Envase con 14 cápsulas de liberación retardada.</v>
          </cell>
          <cell r="U1082">
            <v>226</v>
          </cell>
          <cell r="V1082">
            <v>562</v>
          </cell>
        </row>
        <row r="1083">
          <cell r="A1083">
            <v>1080</v>
          </cell>
          <cell r="B1083" t="str">
            <v>010.000.6083.00</v>
          </cell>
          <cell r="E1083" t="str">
            <v>Citrato De Cafeína. Solución Inyectable Solución Oral Cada mililitro contiene: Citrato de cafeína 20 mg equivalente a 10 mg de cafeína. Envase con 10 frascos ámpula con3 ml (30 mg de cafeína/3 ml).</v>
          </cell>
          <cell r="U1083">
            <v>5960</v>
          </cell>
          <cell r="V1083">
            <v>14896</v>
          </cell>
        </row>
        <row r="1084">
          <cell r="A1084">
            <v>1081</v>
          </cell>
          <cell r="B1084" t="str">
            <v>010.000.6089.00</v>
          </cell>
          <cell r="E1084" t="str">
            <v>Evolocumab. Solución Inyectable Cada jeringa prellenada contiene: Evolocumab 140 mg Envase con una jeringa prellenada con 1 ml de solución (140 mg/ml).</v>
          </cell>
          <cell r="U1084">
            <v>320</v>
          </cell>
          <cell r="V1084">
            <v>800</v>
          </cell>
        </row>
        <row r="1085">
          <cell r="A1085">
            <v>1082</v>
          </cell>
          <cell r="B1085" t="str">
            <v>010.000.6091.00</v>
          </cell>
          <cell r="E1085" t="str">
            <v>BROMURO DE ACLIDINIO / FORMOTEROL POLVO PARA INHALACIÓN CADA INHALACIÓN CONTIENE: BROMURO DE ACLIDINIO EQUIVALENTE A 340 µG DE ACLIDINIO FUMARATO DE FORMOTEROL DIHIDRATADO 11.8 µG. CADA ENVASE CONTIENE 60 INHALACIONES.</v>
          </cell>
          <cell r="U1085">
            <v>220</v>
          </cell>
          <cell r="V1085">
            <v>550</v>
          </cell>
        </row>
        <row r="1086">
          <cell r="A1086">
            <v>1083</v>
          </cell>
          <cell r="B1086" t="str">
            <v>010.000.6092.00</v>
          </cell>
          <cell r="E1086" t="str">
            <v>Teriflunomida Tableta Cada tableta contiene: Teriflunomida 14 mg Envase con 28 tabletas.</v>
          </cell>
          <cell r="U1086">
            <v>3242</v>
          </cell>
          <cell r="V1086">
            <v>8103</v>
          </cell>
        </row>
        <row r="1087">
          <cell r="A1087">
            <v>1084</v>
          </cell>
          <cell r="B1087" t="str">
            <v>010.000.6094.00</v>
          </cell>
          <cell r="E1087" t="str">
            <v>RUXOLITINIB TABLETA CADA TABLETA CONTIENE: FOSFATO DE RUXOLITINIB EQUIVALENTE A 15 MG DE RUXOLITINIB ENVASE CON 60 TABLETAS.</v>
          </cell>
          <cell r="U1087">
            <v>320</v>
          </cell>
          <cell r="V1087">
            <v>798</v>
          </cell>
        </row>
        <row r="1088">
          <cell r="A1088">
            <v>1085</v>
          </cell>
          <cell r="B1088" t="str">
            <v>010.000.6096.00</v>
          </cell>
          <cell r="E1088" t="str">
            <v>BLINATUMOMAB. SOLUCIÓN INYECTABLE CADA FRASCO ÁMPULA CON POLVO LIOFILIZADO CONTIENE: BLINATUMOMAB 35 µG ENVASE CON UN FRASCO ÁMPULA CON POLVO LIOFILIZADO Y UN FRASCO ÁMPULA CON SOLUCIÓN ESTABILIZADORA IV.</v>
          </cell>
          <cell r="U1088">
            <v>14598</v>
          </cell>
          <cell r="V1088">
            <v>36494</v>
          </cell>
        </row>
        <row r="1089">
          <cell r="A1089">
            <v>1086</v>
          </cell>
          <cell r="B1089" t="str">
            <v>010.000.6097.00</v>
          </cell>
          <cell r="E1089" t="str">
            <v>Enzalutamida. Cápsula. Cada cápsula contiene: Enzalutamida 40 mg Envase con 120 cápsulas.</v>
          </cell>
          <cell r="U1089">
            <v>31854</v>
          </cell>
          <cell r="V1089">
            <v>79633</v>
          </cell>
        </row>
        <row r="1090">
          <cell r="A1090">
            <v>1087</v>
          </cell>
          <cell r="B1090" t="str">
            <v>010.000.6099.00</v>
          </cell>
          <cell r="E1090" t="str">
            <v>Lactulosa. Jarabe. Cada 100 ml contienen: Lactulosa 66.70 g Envase con 120 ml y medida dosificadora (0.667 g/ml).</v>
          </cell>
          <cell r="U1090">
            <v>211886</v>
          </cell>
          <cell r="V1090">
            <v>529711</v>
          </cell>
        </row>
        <row r="1091">
          <cell r="A1091">
            <v>1088</v>
          </cell>
          <cell r="B1091" t="str">
            <v>010.000.6099.01</v>
          </cell>
          <cell r="E1091" t="str">
            <v>Lactulosa. Jarabe. Cada 100 ml contienen: Lactulosa 66.70 g Envase con 240 ml y medidadosificadora (0.667 g/ml).</v>
          </cell>
          <cell r="U1091">
            <v>119132</v>
          </cell>
          <cell r="V1091">
            <v>297830</v>
          </cell>
        </row>
        <row r="1092">
          <cell r="A1092">
            <v>1089</v>
          </cell>
          <cell r="B1092" t="str">
            <v>010.000.6100.00</v>
          </cell>
          <cell r="E1092" t="str">
            <v>LACTULOSA. POLVO CADA SOBRE CONTIENE: LACTULOSA 5 G ENVASE CON 15 SOBRES CON POLVO.</v>
          </cell>
          <cell r="U1092">
            <v>934</v>
          </cell>
          <cell r="V1092">
            <v>2334</v>
          </cell>
        </row>
        <row r="1093">
          <cell r="A1093">
            <v>1090</v>
          </cell>
          <cell r="B1093" t="str">
            <v>010.000.6105.00</v>
          </cell>
          <cell r="E1093" t="str">
            <v>RIOCIGUAT. COMPRIMIDO. CADA COMPRIMIDO CONTIENE: RIOCIGUAT 1.5 MG ENVASE CON 42 COMPRIMIDOS.</v>
          </cell>
          <cell r="U1093">
            <v>122</v>
          </cell>
          <cell r="V1093">
            <v>304</v>
          </cell>
        </row>
        <row r="1094">
          <cell r="A1094">
            <v>1091</v>
          </cell>
          <cell r="B1094" t="str">
            <v>010.000.6107.01</v>
          </cell>
          <cell r="E1094" t="str">
            <v>RIOCIGUAT. COMPRIMIDO. CADA COMPRIMIDO CONTIENE: RIOCIGUAT 2.5 MG ENVASE CON 84 COMPRIMIDOS.</v>
          </cell>
          <cell r="U1094">
            <v>92</v>
          </cell>
          <cell r="V1094">
            <v>228</v>
          </cell>
        </row>
        <row r="1095">
          <cell r="A1095">
            <v>1092</v>
          </cell>
          <cell r="B1095" t="str">
            <v>010.000.6112.00</v>
          </cell>
          <cell r="E1095" t="str">
            <v>Sacubitrilo Valsartán. Comprimido. Cada comprimido contiene: Sacubitrilo valsartán sódico hidratado equivalente a 50 mg de Sacubitrilo valsartán Envase con 30 comprimidos.</v>
          </cell>
          <cell r="U1095">
            <v>389669</v>
          </cell>
          <cell r="V1095">
            <v>974171</v>
          </cell>
        </row>
        <row r="1096">
          <cell r="A1096">
            <v>1093</v>
          </cell>
          <cell r="B1096" t="str">
            <v>010.000.6116.00</v>
          </cell>
          <cell r="E1096" t="str">
            <v>AGALSIDASA BETA. SOLUCIÓN INYECTABLE Cada frasco ámpula con polvo liofilizado contiene: Agalsidasa beta 5 mg Envase con frasco ámpula con polvo liofilizado</v>
          </cell>
          <cell r="U1096">
            <v>4486</v>
          </cell>
          <cell r="V1096">
            <v>11213</v>
          </cell>
        </row>
        <row r="1097">
          <cell r="A1097">
            <v>1094</v>
          </cell>
          <cell r="B1097" t="str">
            <v>010.000.6117.01</v>
          </cell>
          <cell r="E1097" t="str">
            <v>INSULINA ASPARTA/INSULINA ASPARTA PROTAMINA. SUSPENSIÓN INYECTABLE CADA ML CONTIENE: INSULINA ASPARTA DE ORIGEN ADN RECOMBINANTE (30% DE INSULINA ASPARTA SOLUBLE Y 70% DE INSULINA ASPARTA PROTAMINA CRISTALINA) 100 U. ENVASE O CAJA DE CARTÓN CON 5 PLUMAS PRELLENADAS O PRECARGADAS CON 3 ML (100 U/ML).</v>
          </cell>
          <cell r="U1097">
            <v>13826</v>
          </cell>
          <cell r="V1097">
            <v>34562</v>
          </cell>
        </row>
        <row r="1098">
          <cell r="A1098">
            <v>1095</v>
          </cell>
          <cell r="B1098" t="str">
            <v>010.000.6118.00</v>
          </cell>
          <cell r="E1098" t="str">
            <v>Aflibercept. Solución Inyectable. Cada frasco ámpula contiene: Aflibercept 100 mg Frasco ámpula con 4 mL</v>
          </cell>
          <cell r="U1098">
            <v>64</v>
          </cell>
          <cell r="V1098">
            <v>160</v>
          </cell>
        </row>
        <row r="1099">
          <cell r="A1099">
            <v>1096</v>
          </cell>
          <cell r="B1099" t="str">
            <v>010.000.6125.00</v>
          </cell>
          <cell r="E1099" t="str">
            <v>Cisteamina. Cápsula Cada cápsula contiene: Bitartrato de cisteamina equivalente a 150 mg de cisteamina Envase con 100 cápsulas</v>
          </cell>
          <cell r="U1099">
            <v>2812</v>
          </cell>
          <cell r="V1099">
            <v>7029</v>
          </cell>
        </row>
        <row r="1100">
          <cell r="A1100">
            <v>1097</v>
          </cell>
          <cell r="B1100" t="str">
            <v>010.000.6126.00</v>
          </cell>
          <cell r="E1100" t="str">
            <v>ELVITEGRAVIR / COBICISTAT / EMTRICITABINA / TENOFOVIR. TABLETA. CADA TABLETACONTIENE: ELVITEGRAVIR 150 MG. COBICISTAT 150 MG. TENOFOVIR DISOPROXIL FUMARATO300 MGEQUIVALENTE A 245 MG DE TENOFOVIR DISOPROXIL. ENVASE CON 30 TABLETAS.</v>
          </cell>
          <cell r="U1100">
            <v>304</v>
          </cell>
          <cell r="V1100">
            <v>758</v>
          </cell>
        </row>
        <row r="1101">
          <cell r="A1101">
            <v>1098</v>
          </cell>
          <cell r="B1101" t="str">
            <v>010.000.6132.00</v>
          </cell>
          <cell r="E1101" t="str">
            <v>ANFOTERICINA B (COMPLEJO FOSFOLIPIDO O LIPIDICO). SUSPENSION INYECTABLE. CADA FRASCO AMPULA CONTIENE: ANFOTERICINA B (COMO COMPLEJO FOSFOLIPIDO O LIPIDICO) 100 MG ENVASE CON UN FRASCO AMPULA CON 20 ML (5 MG/ML) CON AGUJA FILTRO DE 5 MICRAS.</v>
          </cell>
          <cell r="U1101">
            <v>1908</v>
          </cell>
          <cell r="V1101">
            <v>4770</v>
          </cell>
        </row>
        <row r="1102">
          <cell r="A1102">
            <v>1099</v>
          </cell>
          <cell r="B1102" t="str">
            <v>010.000.6133.00</v>
          </cell>
          <cell r="E1102" t="str">
            <v>Idarucizumab. Solución Inyectable. Cada frasco ámpula contiene: Idarucizumab 2.5 g Envase con 2 frascos ámpula con 50 mL cada uno (2.5 g/50 ml).</v>
          </cell>
          <cell r="U1102">
            <v>2</v>
          </cell>
          <cell r="V1102">
            <v>4</v>
          </cell>
        </row>
        <row r="1103">
          <cell r="A1103">
            <v>1100</v>
          </cell>
          <cell r="B1103" t="str">
            <v>010.000.6134.00</v>
          </cell>
          <cell r="E1103" t="str">
            <v>FENOFIBRATO. CAPSULA. CADA CÁPSULA CONTIENE: FENOFIBRATO 200 MG ENVASE CON 14 CÁPSULAS.</v>
          </cell>
          <cell r="U1103">
            <v>50</v>
          </cell>
          <cell r="V1103">
            <v>125</v>
          </cell>
        </row>
        <row r="1104">
          <cell r="A1104">
            <v>1101</v>
          </cell>
          <cell r="B1104" t="str">
            <v>010.000.6142.00</v>
          </cell>
          <cell r="E1104" t="str">
            <v>Palbociclib. Capsula. Cada cápsula contiene: Palbociclib 75 mg Envase con 21 cápsulas</v>
          </cell>
          <cell r="U1104">
            <v>2287</v>
          </cell>
          <cell r="V1104">
            <v>5717</v>
          </cell>
        </row>
        <row r="1105">
          <cell r="A1105">
            <v>1102</v>
          </cell>
          <cell r="B1105" t="str">
            <v>010.000.6144.00</v>
          </cell>
          <cell r="E1105" t="str">
            <v>Palbociclib. Capsula. Cada cápsula contiene: Palbociclib 125 mg Envase con 21 cápsulas</v>
          </cell>
          <cell r="U1105">
            <v>15183</v>
          </cell>
          <cell r="V1105">
            <v>37956</v>
          </cell>
        </row>
        <row r="1106">
          <cell r="A1106">
            <v>1103</v>
          </cell>
          <cell r="B1106" t="str">
            <v>010.000.6148.00</v>
          </cell>
          <cell r="E1106" t="str">
            <v>POMALIDOMIDA. CAPSULA. CADA CÁPSULA CONTIENE: POMALIDOMIDA 4 MG ENVASE CON 21 CÁPSULAS.</v>
          </cell>
          <cell r="U1106">
            <v>575</v>
          </cell>
          <cell r="V1106">
            <v>1435</v>
          </cell>
        </row>
        <row r="1107">
          <cell r="A1107">
            <v>1104</v>
          </cell>
          <cell r="B1107" t="str">
            <v>010.000.6151.01</v>
          </cell>
          <cell r="E1107" t="str">
            <v>Ácido Carglúmico TABLETA  Cada tableta contiene: Ácido carglúmico 200 mg  Envase con 60 tabletas.</v>
          </cell>
          <cell r="U1107">
            <v>2179</v>
          </cell>
          <cell r="V1107">
            <v>5445</v>
          </cell>
        </row>
        <row r="1108">
          <cell r="A1108">
            <v>1105</v>
          </cell>
          <cell r="B1108" t="str">
            <v>010.000.6162.00</v>
          </cell>
          <cell r="E1108" t="str">
            <v>Emtricitabina / Tenofovir Alafenamida. Tableta. Cada tableta contiene: Tenofovir alafenamida fumarato 11.2 mg equivalente a 10 mg de tenofovir alafenamida Emtricitabina 200 mg Envase con 30 tabletas.</v>
          </cell>
          <cell r="U1108">
            <v>11528</v>
          </cell>
          <cell r="V1108">
            <v>28817</v>
          </cell>
        </row>
        <row r="1109">
          <cell r="A1109">
            <v>1106</v>
          </cell>
          <cell r="B1109" t="str">
            <v>010.000.6163.00</v>
          </cell>
          <cell r="E1109" t="str">
            <v>Emtricitabina / Tenofovir Alafenamida. Tableta. Cada tableta contiene: Tenofovir alafenamida fumarato 28 mg equivalente a 25 mg de tenofovir alafenamida Emtricitabina 200 mg Envase con 30 tabletas.</v>
          </cell>
          <cell r="U1109">
            <v>2032</v>
          </cell>
          <cell r="V1109">
            <v>5078</v>
          </cell>
        </row>
        <row r="1110">
          <cell r="A1110">
            <v>1107</v>
          </cell>
          <cell r="B1110" t="str">
            <v>010.000.6166.00</v>
          </cell>
          <cell r="E1110" t="str">
            <v>CLORURO DE RADIO 223. SOLUCIÓN INYECTABLE. CADA FRASCO ÁMPULA CONTIENE: CLORURO DE RADIO 223 6600 KBQ CORRESPONDIENTES A 3.5 NG DE RADIO 223 ENVASE DE PLOMO CON UN FRASCO ÁMPULA CON 6 ML DE SOLUCIÓN (1100 KBQ/ML)</v>
          </cell>
          <cell r="U1110">
            <v>38</v>
          </cell>
          <cell r="V1110">
            <v>93</v>
          </cell>
        </row>
        <row r="1111">
          <cell r="A1111">
            <v>1108</v>
          </cell>
          <cell r="B1111" t="str">
            <v>010.000.6168.00</v>
          </cell>
          <cell r="E1111" t="str">
            <v>Anestesia Sugammadex. Solución inyectable. Cada frasco ámpula contiene: Sugammadex sódico equivalente a 200 mg de sugammadex Envase con 10 frascos ámpula con 2 ml de solución cada uno (100 mg/ml).</v>
          </cell>
          <cell r="U1111">
            <v>8779</v>
          </cell>
          <cell r="V1111">
            <v>21945</v>
          </cell>
        </row>
        <row r="1112">
          <cell r="A1112">
            <v>1109</v>
          </cell>
          <cell r="B1112" t="str">
            <v>010.000.6169.00</v>
          </cell>
          <cell r="E1112" t="str">
            <v>Endocrinología y Metabolismo Levotiroxina Sódica. Tableta. Cada tableta contiene: Levotiroxina sódica 25 µg Envase con 50 tabletas.</v>
          </cell>
          <cell r="U1112">
            <v>34254</v>
          </cell>
          <cell r="V1112">
            <v>85633</v>
          </cell>
        </row>
        <row r="1113">
          <cell r="A1113">
            <v>1110</v>
          </cell>
          <cell r="B1113" t="str">
            <v>010.000.6179.00</v>
          </cell>
          <cell r="E1113" t="str">
            <v>ALOGLIPTINA / METFORMINA. TABLETA. CADA TABLETA CONTIENE: BENZOATO DE ALOGLIPTINA EQUIVALENTE A 12.5 MG DE ALOGLIPTINA CLORHIDRATO DE METFORMINA...500 MG ENVASE CON 56 TABLETAS.</v>
          </cell>
          <cell r="U1113">
            <v>153</v>
          </cell>
          <cell r="V1113">
            <v>380</v>
          </cell>
        </row>
        <row r="1114">
          <cell r="A1114">
            <v>1111</v>
          </cell>
          <cell r="B1114" t="str">
            <v>010.000.6181.00</v>
          </cell>
          <cell r="E1114" t="str">
            <v>Alogliptina / Pioglitazona. Tableta. Cada tableta contiene: Benzoato de alogliptina equivalente a 25 mg de alogliptina Clorhidrato de pioglitazona equivalente a 30 mg de pioglitazona Envase con 28 tabletas.</v>
          </cell>
          <cell r="U1114">
            <v>80</v>
          </cell>
          <cell r="V1114">
            <v>200</v>
          </cell>
        </row>
        <row r="1115">
          <cell r="A1115">
            <v>1112</v>
          </cell>
          <cell r="B1115" t="str">
            <v>010.000.6182.00</v>
          </cell>
          <cell r="E1115" t="str">
            <v>Alogliptina / Pioglitazona. Tableta. Cada tableta contiene: Benzoato de alogliptina equivalente a 25 mg de alogliptina Clorhidrato de pioglitazona equivalente a 15 mg de pioglitazona Envase con 28 tabletas.</v>
          </cell>
          <cell r="U1115">
            <v>80</v>
          </cell>
          <cell r="V1115">
            <v>200</v>
          </cell>
        </row>
        <row r="1116">
          <cell r="A1116">
            <v>1113</v>
          </cell>
          <cell r="B1116" t="str">
            <v>010.000.6211.00</v>
          </cell>
          <cell r="E1116" t="str">
            <v>Abiraterona. Tableta Cada Tableta contiene: Acetato de abiraterona 500 mg. Envase con 60 tabletas.</v>
          </cell>
          <cell r="U1116">
            <v>10048</v>
          </cell>
          <cell r="V1116">
            <v>25119</v>
          </cell>
        </row>
        <row r="1117">
          <cell r="A1117">
            <v>1114</v>
          </cell>
          <cell r="B1117" t="str">
            <v>010.000.6213.00</v>
          </cell>
          <cell r="E1117" t="str">
            <v>Metotrexato. Solución Inyectable Cada frasco ámpula con liofilizado contiene: Metotrexato sódico equivalente a 250 mg de metotrexato. Envase con frasco ámpula</v>
          </cell>
          <cell r="U1117">
            <v>8</v>
          </cell>
          <cell r="V1117">
            <v>20</v>
          </cell>
        </row>
        <row r="1118">
          <cell r="A1118">
            <v>1115</v>
          </cell>
          <cell r="B1118" t="str">
            <v>010.000.6214.00</v>
          </cell>
          <cell r="E1118" t="str">
            <v>Ciclofosfamida. Solución Inyectable. Cada frasco ámpula con liofilizado contiene: Ciclofosfamida monohidratada equivalente a 1000 mg de ciclofosfamida. Envase con 1 frasco ámpula</v>
          </cell>
          <cell r="U1118">
            <v>54195</v>
          </cell>
          <cell r="V1118">
            <v>135486</v>
          </cell>
        </row>
        <row r="1119">
          <cell r="A1119">
            <v>1116</v>
          </cell>
          <cell r="B1119" t="str">
            <v>010.000.6220.00</v>
          </cell>
          <cell r="E1119" t="str">
            <v>Fluorouracilo. Solución Inyectable. Cada ampolleta o frasco ámpula contiene: Fluorouracilo 500 mg. Envase con frasco ámpula y ampolleta con 10 mL de diluyente.</v>
          </cell>
          <cell r="U1119">
            <v>33262</v>
          </cell>
          <cell r="V1119">
            <v>83153</v>
          </cell>
        </row>
        <row r="1120">
          <cell r="A1120">
            <v>1117</v>
          </cell>
          <cell r="B1120" t="str">
            <v>010.000.6220.01</v>
          </cell>
          <cell r="E1120" t="str">
            <v>Fluorouracilo. Solución Inyectable. Cada ampolleta o frasco ámpula contiene: Fluorouracilo 500 mg. Envase con frasco ámpula y/o vial con 500 mg de liofilizado sin diluyente.</v>
          </cell>
          <cell r="U1120">
            <v>480</v>
          </cell>
          <cell r="V1120">
            <v>1200</v>
          </cell>
        </row>
        <row r="1121">
          <cell r="A1121">
            <v>1118</v>
          </cell>
          <cell r="B1121" t="str">
            <v>010.000.6220.02</v>
          </cell>
          <cell r="E1121" t="str">
            <v>FLUOROURACILO. SOLUCIÓN INYECTABLE. CADA AMPOLLETA O FRASCO ÁMPULA CONTIENE: FLUOROURACILO 500 MG. ENVASE CON 10 FRASCOS ÁMPULA.</v>
          </cell>
          <cell r="U1121">
            <v>2746</v>
          </cell>
          <cell r="V1121">
            <v>6865</v>
          </cell>
        </row>
        <row r="1122">
          <cell r="A1122">
            <v>1119</v>
          </cell>
          <cell r="B1122" t="str">
            <v>010.000.6220.03</v>
          </cell>
          <cell r="E1122" t="str">
            <v>FLUOROURACILO. SOLUCIÓN INYECTABLE. CADA AMPOLLETA O FRASCO ÁMPULA CONTIENE: FLUOROURACILO 500 MG. ENVASE CON 5 FRASCOS ÁMPULA.</v>
          </cell>
          <cell r="U1122">
            <v>380</v>
          </cell>
          <cell r="V1122">
            <v>947</v>
          </cell>
        </row>
        <row r="1123">
          <cell r="A1123">
            <v>1120</v>
          </cell>
          <cell r="B1123" t="str">
            <v>010.000.6220.04</v>
          </cell>
          <cell r="E1123" t="str">
            <v>FLUOROURACILO. SOLUCION INYECTABLE CADA AMPOLLETA O FRASCO AMPULA CONTIENE:FLUOROURACILO 500 MG. ENVASE CON 25 FRASCOS AMPULA.</v>
          </cell>
          <cell r="U1123">
            <v>2638</v>
          </cell>
          <cell r="V1123">
            <v>6592</v>
          </cell>
        </row>
        <row r="1124">
          <cell r="A1124">
            <v>1121</v>
          </cell>
          <cell r="B1124" t="str">
            <v>010.000.6221.00</v>
          </cell>
          <cell r="E1124" t="str">
            <v>FRAGMENTOS F(ab´)2 DE INMUNOGLOBULINA POLIVALENTE ANTILOXOSCELES, SOLUCIÓN INYECTABLE, Cada frasco ámpula con liofilizado contiene: Fragmentos F(ab´)2 de inmunoglobulina polivalente antiloxosceles 132.80 mcg (para neutralizar no menos de 40 DL50 de rNecrotoxina Loxosceles boneti). Fragmentos F(ab´)2 de inmunoglobulina polivalente antiloxosceles 172.00 mcg (para neutralizar no menos de 40 DL50 de rNecrotoxina Loxosceles laeta). Fragmentos F(ab´)2 de inmunoglobulina polivalente antiloxosceles 132.00 mcg (para neutralizar no menos de 40 DL50 de rNecrotoxina Loxosceles reclusa). Envase conteniendo frasco ámpula con liofilizado, una ampolleta con diluyente e instructivo anexo.</v>
          </cell>
          <cell r="U1124">
            <v>2083</v>
          </cell>
          <cell r="V1124">
            <v>5205</v>
          </cell>
        </row>
        <row r="1125">
          <cell r="A1125">
            <v>1122</v>
          </cell>
          <cell r="B1125" t="str">
            <v>010.000.6222.00</v>
          </cell>
          <cell r="E1125" t="str">
            <v>ÁCIDO ACETILSALICÍLICO, TABLETAS Cada tableta contiene: Ácido acetilsalicílico 100 mg con o sin recubrimiento. Envase con 28 tabletas.</v>
          </cell>
          <cell r="U1125">
            <v>1122464</v>
          </cell>
          <cell r="V1125">
            <v>2806158</v>
          </cell>
        </row>
        <row r="1126">
          <cell r="A1126">
            <v>1123</v>
          </cell>
          <cell r="B1126" t="str">
            <v>010.000.6226.00</v>
          </cell>
          <cell r="E1126" t="str">
            <v>VENETOCLAX, TABLETA, CADA TABLETA CONTIENE: 10, 50 O 100 MG DE VENETOCLAX, EXCIPIENTE CBP 1 TABLETA, MANTENIMIENTO. CAJA CON UN FRASCO CON 120 TABLETAS DE 100 MG</v>
          </cell>
          <cell r="U1126">
            <v>4317</v>
          </cell>
          <cell r="V1126">
            <v>10792</v>
          </cell>
        </row>
        <row r="1127">
          <cell r="A1127">
            <v>1124</v>
          </cell>
          <cell r="B1127" t="str">
            <v>010.000.6231.00</v>
          </cell>
          <cell r="E1127" t="str">
            <v>PERINDOPRIL / AMLODIPINO. COMPRIMIDOS Cada comprimido contiene: Perindropril arginina 5 mg. Amlodipino 5 mg. Frasco con 30 comprimidos.</v>
          </cell>
          <cell r="U1127">
            <v>82078</v>
          </cell>
          <cell r="V1127">
            <v>205194</v>
          </cell>
        </row>
        <row r="1128">
          <cell r="A1128">
            <v>1125</v>
          </cell>
          <cell r="B1128" t="str">
            <v>010.000.6232.00</v>
          </cell>
          <cell r="E1128" t="str">
            <v>PERINDOPRIL / AMLODIPINO. COMPRIMIDOS Cada comprimido contiene: Perindropril arginina 5 mg. Amlodipino 10 mg. Frasco con 30 comprimidos.</v>
          </cell>
          <cell r="U1128">
            <v>4</v>
          </cell>
          <cell r="V1128">
            <v>10</v>
          </cell>
        </row>
        <row r="1129">
          <cell r="A1129">
            <v>1126</v>
          </cell>
          <cell r="B1129" t="str">
            <v>010.000.6233.00</v>
          </cell>
          <cell r="E1129" t="str">
            <v>PERINDOPRIL / AMLODIPINO. COMPRIMIDOS CADA COMPRIMIDO CONTIENE: PERINDROPRIL ARGININA 10 MG. AMLODIPINO 5 MG. FRASCO CON 30 COMPRIMIDOS.</v>
          </cell>
          <cell r="U1129">
            <v>2912</v>
          </cell>
          <cell r="V1129">
            <v>7277</v>
          </cell>
        </row>
        <row r="1130">
          <cell r="A1130">
            <v>1127</v>
          </cell>
          <cell r="B1130" t="str">
            <v>010.000.6237.00</v>
          </cell>
          <cell r="E1130" t="str">
            <v>PERINDOPRIL / AMLODIPINO/ INDAPAMIDA. COMPRIMIDOS CADA COMPRIMIDO CONTIENE:PERINDOPRIL ARGININA 5 MG. BESILATO DE AMLODIPINO 5 MG. INDAPAMIDA 1.25 MG. CAJACON 30 COMPRIMIDOS.</v>
          </cell>
          <cell r="U1130">
            <v>939074</v>
          </cell>
          <cell r="V1130">
            <v>2347684</v>
          </cell>
        </row>
        <row r="1131">
          <cell r="A1131">
            <v>1128</v>
          </cell>
          <cell r="B1131" t="str">
            <v>010.000.6238.00</v>
          </cell>
          <cell r="E1131" t="str">
            <v>PERINDOPRIL / AMLODIPINO/ INDAPAMIDA. COMPRIMIDOS CADA COMPRIMIDO CONTIENE: PERINDOPRIL ARGININA 10 MG. BESILATO DE AMLODIPINO 5 MG. INDAPAMIDA 2.5 MG. CAJA CON 30 COMPRIMIDOS.</v>
          </cell>
          <cell r="U1131">
            <v>9200</v>
          </cell>
          <cell r="V1131">
            <v>23000</v>
          </cell>
        </row>
        <row r="1132">
          <cell r="A1132">
            <v>1129</v>
          </cell>
          <cell r="B1132" t="str">
            <v>010.000.6239.00</v>
          </cell>
          <cell r="E1132" t="str">
            <v>PERINDOPRIL / AMLODIPINO/ INDAPAMIDA. COMPRIMIDOS CADA COMPRIMIDO CONTIENE: PERINDOPRIL ARGININA 5 MG. BESILATO DE AMLODIPINO 10 MG. INDAPAMIDA 1.25 MG. CAJA CON 30 COMPRIMIDOS.</v>
          </cell>
          <cell r="U1132">
            <v>20</v>
          </cell>
          <cell r="V1132">
            <v>50</v>
          </cell>
        </row>
        <row r="1133">
          <cell r="A1133">
            <v>1130</v>
          </cell>
          <cell r="B1133" t="str">
            <v>010.000.6241.00</v>
          </cell>
          <cell r="E1133" t="str">
            <v>FLECAINIDA. TABLETAS CADA TABLETA CONTIENE: ACETATO DE FLECAINIDA 100 MG. FRASCODE 100 TABLETAS.</v>
          </cell>
          <cell r="U1133">
            <v>1300</v>
          </cell>
          <cell r="V1133">
            <v>3250</v>
          </cell>
        </row>
        <row r="1134">
          <cell r="A1134">
            <v>1131</v>
          </cell>
          <cell r="B1134" t="str">
            <v>010.000.6242.00</v>
          </cell>
          <cell r="E1134" t="str">
            <v>ÁCIDO ACETILSALICÍLICO/ ATORVASTATINA/RAMIPRIL. CÁPSULAS. CADA CÁPSULA CONTIENE: ÁCIDO ACETILSALICÍLICO 100 MG ATORVASTATINA CÁLCICA TRIHIDRATADA 40 MG RAMIPRIL 5 MG CAJA CON 28 CAPSULAS.</v>
          </cell>
          <cell r="U1134">
            <v>11329</v>
          </cell>
          <cell r="V1134">
            <v>28320</v>
          </cell>
        </row>
        <row r="1135">
          <cell r="A1135">
            <v>1132</v>
          </cell>
          <cell r="B1135" t="str">
            <v>010.000.6243.00</v>
          </cell>
          <cell r="E1135" t="str">
            <v>ÁCIDO ACETILSALICÍLICO/ ATORVASTATINA/RAMIPRIL. CÁPSULAS CADA CÁPSULA CONTIENE: ÁCIDO ACETILSALICÍLICO 100 MG ATORVASTATINA CÁLCICA TRIHIDRATADA 40 MG RAMIPRIL 10 MG CAJA CON 28 CAPSULAS.</v>
          </cell>
          <cell r="U1135">
            <v>4</v>
          </cell>
          <cell r="V1135">
            <v>8</v>
          </cell>
        </row>
        <row r="1136">
          <cell r="A1136">
            <v>1133</v>
          </cell>
          <cell r="B1136" t="str">
            <v>010.000.6244.00</v>
          </cell>
          <cell r="E1136" t="str">
            <v>OLMESARTÁN. TABLETA Cada tableta contiene: Olmesartán Medoxomilo 20 mg. Envase con 28 tabletas.</v>
          </cell>
          <cell r="U1136">
            <v>994</v>
          </cell>
          <cell r="V1136">
            <v>2482</v>
          </cell>
        </row>
        <row r="1137">
          <cell r="A1137">
            <v>1134</v>
          </cell>
          <cell r="B1137" t="str">
            <v>010.000.6245.00</v>
          </cell>
          <cell r="E1137" t="str">
            <v>OLMESARTÁN. TABLETA Cada tableta contiene: Olmesartán Medoxomilo 40 mg. Envase con 28 tabletas.</v>
          </cell>
          <cell r="U1137">
            <v>26355</v>
          </cell>
          <cell r="V1137">
            <v>65885</v>
          </cell>
        </row>
        <row r="1138">
          <cell r="A1138">
            <v>1135</v>
          </cell>
          <cell r="B1138" t="str">
            <v>010.000.6246.00</v>
          </cell>
          <cell r="E1138" t="str">
            <v>OLMESARTÁN/ AMLODIPINO. TABLETA Cada tableta contiene: Olmesartan medoxomilo 20 mg. Besilato o de amlodipino equivalente a 5 mg de amlodipino Envase con 28 tabletas.</v>
          </cell>
          <cell r="U1138">
            <v>196</v>
          </cell>
          <cell r="V1138">
            <v>490</v>
          </cell>
        </row>
        <row r="1139">
          <cell r="A1139">
            <v>1136</v>
          </cell>
          <cell r="B1139" t="str">
            <v>010.000.6247.00</v>
          </cell>
          <cell r="E1139" t="str">
            <v>OLMESARTÁN/ AMLODIPINO. TABLETA Cada tableta contiene: Olmesartan medoxomilo 40 mg. Besilato o de amlodipino equivalente a 5 mg de amlodipino Envase con 28 tabletas.</v>
          </cell>
          <cell r="U1139">
            <v>188</v>
          </cell>
          <cell r="V1139">
            <v>470</v>
          </cell>
        </row>
        <row r="1140">
          <cell r="A1140">
            <v>1137</v>
          </cell>
          <cell r="B1140" t="str">
            <v>010.000.6248.00</v>
          </cell>
          <cell r="E1140" t="str">
            <v>OLMESARTÁN/ AMLODIPINO. TABLETA Cada tableta contiene: Olmesartan medoxomilo 40 mg. Besilato o de amlodipino equivalente a 10 mg de amlodipino Envase con 28 tabletas.</v>
          </cell>
          <cell r="U1140">
            <v>68</v>
          </cell>
          <cell r="V1140">
            <v>169</v>
          </cell>
        </row>
        <row r="1141">
          <cell r="A1141">
            <v>1138</v>
          </cell>
          <cell r="B1141" t="str">
            <v>010.000.6249.00</v>
          </cell>
          <cell r="E1141" t="str">
            <v>OLMESARTÁN/ HIDROCLOROTIAZIDA. TABLETA Cada tableta contiene: Olmesartan medoxomilo 20 mg. Hidroclorotiazida 12.5 mg. Envase con 28 tabletas</v>
          </cell>
          <cell r="U1141">
            <v>30496</v>
          </cell>
          <cell r="V1141">
            <v>76238</v>
          </cell>
        </row>
        <row r="1142">
          <cell r="A1142">
            <v>1139</v>
          </cell>
          <cell r="B1142" t="str">
            <v>010.000.6250.00</v>
          </cell>
          <cell r="E1142" t="str">
            <v>OLMESARTÁN/ HIDROCLOROTIAZIDA. TABLETA Cada tableta contiene: Olmesartan medoxomilo 40 mg. Hidroclorotiazida 12.5 mg. Envase con 28 tabletas</v>
          </cell>
          <cell r="U1142">
            <v>30659</v>
          </cell>
          <cell r="V1142">
            <v>76647</v>
          </cell>
        </row>
        <row r="1143">
          <cell r="A1143">
            <v>1140</v>
          </cell>
          <cell r="B1143" t="str">
            <v>010.000.6251.00</v>
          </cell>
          <cell r="E1143" t="str">
            <v>OLMESARTÁN/ HIDROCLOROTIAZIDA. TABLETA Cada tableta contiene: Olmesartan medoxomilo 40 mg. Hidroclorotiazida 25 mg. Envase con 28 tabletas</v>
          </cell>
          <cell r="U1143">
            <v>74</v>
          </cell>
          <cell r="V1143">
            <v>181</v>
          </cell>
        </row>
        <row r="1144">
          <cell r="A1144">
            <v>1141</v>
          </cell>
          <cell r="B1144" t="str">
            <v>010.000.6252.00</v>
          </cell>
          <cell r="E1144" t="str">
            <v>OLMESARTÁN/ AMLODIPINO/ HIDROCLOROTIAZIDA. TABLETA. Cada tableta contiene: Olmesartán medoxomilo: 40 mg Besilato de amlodipino: 5 mg Hidroclorotiazida: 12.5 mg Caja con 28 tabletas</v>
          </cell>
          <cell r="U1144">
            <v>132</v>
          </cell>
          <cell r="V1144">
            <v>330</v>
          </cell>
        </row>
        <row r="1145">
          <cell r="A1145">
            <v>1142</v>
          </cell>
          <cell r="B1145" t="str">
            <v>010.000.6254.00</v>
          </cell>
          <cell r="E1145" t="str">
            <v>OLMESARTÁN/ AMLODIPINO/ HIDROCLOROTIAZIDA. TABLETA. Cada tableta contiene: Olmesartán medoxomilo: 40 mg Besilato de amlodipino: 10 mg Hidroclorotiazida: 25 mg Caja con 28 tabletas</v>
          </cell>
          <cell r="U1145">
            <v>40</v>
          </cell>
          <cell r="V1145">
            <v>100</v>
          </cell>
        </row>
        <row r="1146">
          <cell r="A1146">
            <v>1143</v>
          </cell>
          <cell r="B1146" t="str">
            <v>010.000.6255.00</v>
          </cell>
          <cell r="E1146" t="str">
            <v>BISOPROLOL. TABLETA Cada tableta contiene: Bisoprolol fumarato 1.25 mg Caja con 30 tabletas</v>
          </cell>
          <cell r="U1146">
            <v>18273</v>
          </cell>
          <cell r="V1146">
            <v>45681</v>
          </cell>
        </row>
        <row r="1147">
          <cell r="A1147">
            <v>1144</v>
          </cell>
          <cell r="B1147" t="str">
            <v>010.000.6256.00</v>
          </cell>
          <cell r="E1147" t="str">
            <v>BISOPROLOL. TABLETA Cada tableta contiene: Bisoprolol fumarato 2.5 mg Caja con 30 tabletas</v>
          </cell>
          <cell r="U1147">
            <v>101484</v>
          </cell>
          <cell r="V1147">
            <v>253708</v>
          </cell>
        </row>
        <row r="1148">
          <cell r="A1148">
            <v>1145</v>
          </cell>
          <cell r="B1148" t="str">
            <v>010.000.6257.00</v>
          </cell>
          <cell r="E1148" t="str">
            <v>BISOPROLOL. TABLETA Cada tableta contiene: Bisoprolol fumarato 5 mg Caja con 30 tabletas</v>
          </cell>
          <cell r="U1148">
            <v>255655</v>
          </cell>
          <cell r="V1148">
            <v>639135</v>
          </cell>
        </row>
        <row r="1149">
          <cell r="A1149">
            <v>1146</v>
          </cell>
          <cell r="B1149" t="str">
            <v>010.000.6259.00</v>
          </cell>
          <cell r="E1149" t="str">
            <v>LABETALOL. Solución inyectable. Cada frasco ámpula contiene: labetalol 100 mg/20 mL Caja con un frasco ámpula</v>
          </cell>
          <cell r="U1149">
            <v>27438</v>
          </cell>
          <cell r="V1149">
            <v>68594</v>
          </cell>
        </row>
        <row r="1150">
          <cell r="A1150">
            <v>1147</v>
          </cell>
          <cell r="B1150" t="str">
            <v>010.000.6261.00</v>
          </cell>
          <cell r="E1150" t="str">
            <v>EPLERENONA. CÁPSULA O TABLETA Cada cápsula o tableta contiene: Eplerenona 25.0 mg. Envase con 30 cápsulas o tabletas.</v>
          </cell>
          <cell r="U1150">
            <v>5616</v>
          </cell>
          <cell r="V1150">
            <v>14036</v>
          </cell>
        </row>
        <row r="1151">
          <cell r="A1151">
            <v>1148</v>
          </cell>
          <cell r="B1151" t="str">
            <v>010.000.6264.00</v>
          </cell>
          <cell r="E1151" t="str">
            <v>METILDOPA. TABLETA Cada tableta contiene: Metildopa 500 mg. Envase con 30 tabletas.</v>
          </cell>
          <cell r="U1151">
            <v>504</v>
          </cell>
          <cell r="V1151">
            <v>1258</v>
          </cell>
        </row>
        <row r="1152">
          <cell r="A1152">
            <v>1149</v>
          </cell>
          <cell r="B1152" t="str">
            <v>010.000.6267.00</v>
          </cell>
          <cell r="E1152" t="str">
            <v>HEPARINA. SOLUCIÓN INYECTABLE Cada frasco ámpula contiene: Heparina sódica Equivalente a 5000 UI. Envase con 50 frascos ámpula con 5 ml.</v>
          </cell>
          <cell r="U1152">
            <v>8525</v>
          </cell>
          <cell r="V1152">
            <v>21310</v>
          </cell>
        </row>
        <row r="1153">
          <cell r="A1153">
            <v>1150</v>
          </cell>
          <cell r="B1153" t="str">
            <v>010.000.6270.00</v>
          </cell>
          <cell r="E1153" t="str">
            <v>IRBESARTÁN/HIDROCLOROTIAZIDA. TABLETA Cada tableta contiene: Irbesartán 300 mg. Hidroclorotiazida 25 mg. Envase con 28 tabletas.</v>
          </cell>
          <cell r="U1153">
            <v>243</v>
          </cell>
          <cell r="V1153">
            <v>605</v>
          </cell>
        </row>
        <row r="1154">
          <cell r="A1154">
            <v>1151</v>
          </cell>
          <cell r="B1154" t="str">
            <v>010.000.6272.00</v>
          </cell>
          <cell r="E1154" t="str">
            <v>AMLODIPINO. TABLETA O CAPSULA Cada tableta o cápsula contiene: Besilato o maleato de amlodipino Equivalente a 10 mg de amlodipino. Envase con 14 tabletas o cápsulas.</v>
          </cell>
          <cell r="U1154">
            <v>1597</v>
          </cell>
          <cell r="V1154">
            <v>3990</v>
          </cell>
        </row>
        <row r="1155">
          <cell r="A1155">
            <v>1152</v>
          </cell>
          <cell r="B1155" t="str">
            <v>010.000.6273.01</v>
          </cell>
          <cell r="E1155" t="str">
            <v>METFORMINA/ GLIBENCLAMIDA. TABLETA Cada tableta contiene: Clorhidrato de metformina 500 mg. Glibenclamida 2.5 mg Envase con 60 tabletas.</v>
          </cell>
          <cell r="U1155">
            <v>78</v>
          </cell>
          <cell r="V1155">
            <v>192</v>
          </cell>
        </row>
        <row r="1156">
          <cell r="A1156">
            <v>1153</v>
          </cell>
          <cell r="B1156" t="str">
            <v>010.000.6274.00</v>
          </cell>
          <cell r="E1156" t="str">
            <v>METFORMINA/ GLIMEPIRIDA. TABLETA Cada tableta contiene: Clorhidrato de metformina 500 mg. Glimepirida 1 mg Envase con 32 tabletas.</v>
          </cell>
          <cell r="U1156">
            <v>18054</v>
          </cell>
          <cell r="V1156">
            <v>45133</v>
          </cell>
        </row>
        <row r="1157">
          <cell r="A1157">
            <v>1154</v>
          </cell>
          <cell r="B1157" t="str">
            <v>010.000.6275.00</v>
          </cell>
          <cell r="E1157" t="str">
            <v>METFORMINA. TABLETA Cada tableta contiene: Clorhidrato de Metformina de liberación prolongada 500 mg Envase con 30 tabletas.</v>
          </cell>
          <cell r="U1157">
            <v>91591</v>
          </cell>
          <cell r="V1157">
            <v>228975</v>
          </cell>
        </row>
        <row r="1158">
          <cell r="A1158">
            <v>1155</v>
          </cell>
          <cell r="B1158" t="str">
            <v>010.000.6277.00</v>
          </cell>
          <cell r="E1158" t="str">
            <v>ROSUVASTATINA. TABLETA Cada tableta contiene: Rosuvastatina cálcica equivalente a 20 mg de rosuvastatina Envase con 30 tabletas.</v>
          </cell>
          <cell r="U1158">
            <v>79155</v>
          </cell>
          <cell r="V1158">
            <v>197887</v>
          </cell>
        </row>
        <row r="1159">
          <cell r="A1159">
            <v>1156</v>
          </cell>
          <cell r="B1159" t="str">
            <v>010.000.6279.00</v>
          </cell>
          <cell r="E1159" t="str">
            <v>AZITROMICINA. SUSPENSIÓN Cada 5 ml de suspensión contienen: Azitromicina 200 mg Frasco con polvo para reconstituir 10 ml.</v>
          </cell>
          <cell r="U1159">
            <v>209921</v>
          </cell>
          <cell r="V1159">
            <v>524800</v>
          </cell>
        </row>
        <row r="1160">
          <cell r="A1160">
            <v>1157</v>
          </cell>
          <cell r="B1160" t="str">
            <v>010.000.6280.00</v>
          </cell>
          <cell r="E1160" t="str">
            <v>CLARITROMICINA. TABLETA Cada tableta contiene: Claritromicina 500 mg. Envase con 10 tabletas.</v>
          </cell>
          <cell r="U1160">
            <v>531593</v>
          </cell>
          <cell r="V1160">
            <v>1328979</v>
          </cell>
        </row>
        <row r="1161">
          <cell r="A1161">
            <v>1158</v>
          </cell>
          <cell r="B1161" t="str">
            <v>010.000.6281.00</v>
          </cell>
          <cell r="E1161" t="str">
            <v>AMOXICILINA / ÁCIDO CLAVULÁNICO. TABLETA Cada tableta contiene: Amoxicilina trihidratada equivalente a 875 mg de amoxicilina. Clavulanato de potasio equivalente a 125 mg de ácido clavulánico. Envase con 10 tabletas</v>
          </cell>
          <cell r="U1161">
            <v>1132903</v>
          </cell>
          <cell r="V1161">
            <v>2832255</v>
          </cell>
        </row>
        <row r="1162">
          <cell r="A1162">
            <v>1159</v>
          </cell>
          <cell r="B1162" t="str">
            <v>010.000.6282.00</v>
          </cell>
          <cell r="E1162" t="str">
            <v>ABEMACICLIB. TABLETA Cada tableta contiene Abemaciclib 150 mg Envase con 56 tabletas</v>
          </cell>
          <cell r="U1162">
            <v>15324</v>
          </cell>
          <cell r="V1162">
            <v>38307</v>
          </cell>
        </row>
        <row r="1163">
          <cell r="A1163">
            <v>1160</v>
          </cell>
          <cell r="B1163" t="str">
            <v>010.000.6283.00</v>
          </cell>
          <cell r="E1163" t="str">
            <v>ABEMACICLIB. TABLETA Cada tableta contiene Abemaciclib 100 mg Envase con 56 tabletas</v>
          </cell>
          <cell r="U1163">
            <v>7834</v>
          </cell>
          <cell r="V1163">
            <v>19583</v>
          </cell>
        </row>
        <row r="1164">
          <cell r="A1164">
            <v>1161</v>
          </cell>
          <cell r="B1164" t="str">
            <v>010.000.6284.00</v>
          </cell>
          <cell r="E1164" t="str">
            <v>ABEMACICLIB. TABLETA CADA TABLETA CONTIENE ABEMACICLIB 50 MG ENVASE CON 56TABLETAS.</v>
          </cell>
          <cell r="U1164">
            <v>1349</v>
          </cell>
          <cell r="V1164">
            <v>3371</v>
          </cell>
        </row>
        <row r="1165">
          <cell r="A1165">
            <v>1162</v>
          </cell>
          <cell r="B1165" t="str">
            <v>010.000.6285.00</v>
          </cell>
          <cell r="E1165" t="str">
            <v>MIDOSTAURINA. CÁPSULA CADA CÁPSULA CONTIENE, MIDOSTAURINA 25 MG. ENVASE CON 112 CÁPSULAS (4 CAJAS CON 28 CÁPSULAS) DE 25 MG.</v>
          </cell>
          <cell r="U1165">
            <v>283</v>
          </cell>
          <cell r="V1165">
            <v>706</v>
          </cell>
        </row>
        <row r="1166">
          <cell r="A1166">
            <v>1163</v>
          </cell>
          <cell r="B1166" t="str">
            <v>010.000.6288.00</v>
          </cell>
          <cell r="E1166" t="str">
            <v>CLOFARABINA. SOLUCION CADA FRASCO AMPULA CONTIENE: CLOFARABINA 20 MG ENVASE CONFRASCO AMPULA CON 20 MG DE CLOFARABINA.</v>
          </cell>
          <cell r="U1166">
            <v>11</v>
          </cell>
          <cell r="V1166">
            <v>25</v>
          </cell>
        </row>
        <row r="1167">
          <cell r="A1167">
            <v>1164</v>
          </cell>
          <cell r="B1167" t="str">
            <v>010.000.6289.01</v>
          </cell>
          <cell r="E1167" t="str">
            <v>TOPOTECÁN. SOLUCIÓN INYECTABLE CADA VIAL O FRASCO ÁMPULA CON LIOFILIZADO CONTIENE: TOPOTECAN 4 MG. ENVASE CON UN VIAL O FRASCO ÁMPULA.</v>
          </cell>
          <cell r="U1167">
            <v>567</v>
          </cell>
          <cell r="V1167">
            <v>1416</v>
          </cell>
        </row>
        <row r="1168">
          <cell r="A1168">
            <v>1165</v>
          </cell>
          <cell r="B1168" t="str">
            <v>010.000.6290.00</v>
          </cell>
          <cell r="E1168" t="str">
            <v>CARBOPLATINO. SOLUCIÓN INYECTABLE. Cada frasco ámpula con liofilizado contiene: Carboplatino 450 mg. Envase con un frasco ámpula.</v>
          </cell>
          <cell r="U1168">
            <v>33655</v>
          </cell>
          <cell r="V1168">
            <v>84134</v>
          </cell>
        </row>
        <row r="1169">
          <cell r="A1169">
            <v>1166</v>
          </cell>
          <cell r="B1169" t="str">
            <v>010.000.6291.00</v>
          </cell>
          <cell r="E1169" t="str">
            <v>CISPLATINO. SOLUCIÓN INYECTABLE Cada frasco ámpula con liofilizado o solución contiene: Cisplatino 50 mg. Envase con un frasco ámpula.</v>
          </cell>
          <cell r="U1169">
            <v>52550</v>
          </cell>
          <cell r="V1169">
            <v>131374</v>
          </cell>
        </row>
        <row r="1170">
          <cell r="A1170">
            <v>1167</v>
          </cell>
          <cell r="B1170" t="str">
            <v>010.000.6293.00</v>
          </cell>
          <cell r="E1170" t="str">
            <v>FLUDARABINA. SOLUCIÓN INYECTABLE CADA VIAL CONTIENE FOSFATO DE FLUDARABINA 50 MG. ENVASE CON 5 VIALES.</v>
          </cell>
          <cell r="U1170">
            <v>990</v>
          </cell>
          <cell r="V1170">
            <v>2472</v>
          </cell>
        </row>
        <row r="1171">
          <cell r="A1171">
            <v>1168</v>
          </cell>
          <cell r="B1171" t="str">
            <v>010.000.6294.00</v>
          </cell>
          <cell r="E1171" t="str">
            <v>GEMCITABINA. SOLUCIÓN INYECTABLE CADA FRASCO ÁMPULA CONTIENE: CLORHIDRATO DE GEMCITABINA EQUIVALENTE A 200 MG DE GEMCITABINA. ENVASE CON UN FRASCO ÁMPULA.</v>
          </cell>
          <cell r="U1171">
            <v>9918</v>
          </cell>
          <cell r="V1171">
            <v>24792</v>
          </cell>
        </row>
        <row r="1172">
          <cell r="A1172">
            <v>1169</v>
          </cell>
          <cell r="B1172" t="str">
            <v>010.000.6302.00</v>
          </cell>
          <cell r="E1172" t="str">
            <v>PONATINIB. TABLETAS CADA TABLETA CONTIENE: PONATINIB 45 MG. ENVASE CON 90 TABLETAS.</v>
          </cell>
          <cell r="U1172">
            <v>676</v>
          </cell>
          <cell r="V1172">
            <v>1690</v>
          </cell>
        </row>
        <row r="1173">
          <cell r="A1173">
            <v>1170</v>
          </cell>
          <cell r="B1173" t="str">
            <v>010.000.6302.01</v>
          </cell>
          <cell r="E1173" t="str">
            <v>PONATINIB TABLETAS. CADA TABLETA CONTIENE: PONATINIB 45 MG. ENVASE CON 30 TABLETAS. ENVASE CON 90 TABLETAS.</v>
          </cell>
          <cell r="U1173">
            <v>20</v>
          </cell>
          <cell r="V1173">
            <v>48</v>
          </cell>
        </row>
        <row r="1174">
          <cell r="A1174">
            <v>1171</v>
          </cell>
          <cell r="B1174" t="str">
            <v>010.000.6303.00</v>
          </cell>
          <cell r="E1174" t="str">
            <v>VORINOSTAT. TABLETAS. Cada tableta contiene: Vorinostat 100 mg. Envase con 120 tabletas.</v>
          </cell>
          <cell r="U1174">
            <v>4</v>
          </cell>
          <cell r="V1174">
            <v>6</v>
          </cell>
        </row>
        <row r="1175">
          <cell r="A1175">
            <v>1172</v>
          </cell>
          <cell r="B1175" t="str">
            <v>010.000.6308.00</v>
          </cell>
          <cell r="E1175" t="str">
            <v>AZITROMICINA. TABLETA. Cada tableta contiene: Azitromicina dihidratada equivalente a 250 mg de azitromicina. Envase con 3 tabletas.</v>
          </cell>
          <cell r="U1175">
            <v>674</v>
          </cell>
          <cell r="V1175">
            <v>1683</v>
          </cell>
        </row>
        <row r="1176">
          <cell r="A1176">
            <v>1173</v>
          </cell>
          <cell r="B1176" t="str">
            <v>010.000.6308.02</v>
          </cell>
          <cell r="E1176" t="str">
            <v>AZITROMICINA. TABLETA. Cada tableta contiene: Azitromicina dihidratada equivalente a 250 mg de azitromicina. Envase con 9 tabletas.</v>
          </cell>
          <cell r="U1176">
            <v>2</v>
          </cell>
          <cell r="V1176">
            <v>4</v>
          </cell>
        </row>
        <row r="1177">
          <cell r="A1177">
            <v>1174</v>
          </cell>
          <cell r="B1177" t="str">
            <v>010.000.6309.00</v>
          </cell>
          <cell r="E1177" t="str">
            <v>Hidroxicloroquina. TABLETA Cada tableta contiene: Sulfato de hidroxicloroquina 200 mg. Caja de cartón con 20 tabletas en envase de burbuja.</v>
          </cell>
          <cell r="U1177">
            <v>255361</v>
          </cell>
          <cell r="V1177">
            <v>638402</v>
          </cell>
        </row>
        <row r="1178">
          <cell r="A1178">
            <v>1175</v>
          </cell>
          <cell r="B1178" t="str">
            <v>010.000.6313.00</v>
          </cell>
          <cell r="E1178" t="str">
            <v>IXAZOMIB. CÁPSULA CADA CÁPSULA CONTIENE: CITRATO DE IXAZOMIB 4.30 MG EQUIVALENTE A 3.0 MG DE IXAZOMIB. CAJA COLECTIVA CON 3 CÁPSUL2AS DE 3 MG. CADA CÁPSULA ESTÁ CONTENIDA EN UN ENVASE DE BURBUJA SELLADA EN UNA CARTERA DE CARTÓN, DENTRO DE UNA CAJA INDIVIDUAL.</v>
          </cell>
          <cell r="U1178">
            <v>339</v>
          </cell>
          <cell r="V1178">
            <v>845</v>
          </cell>
        </row>
        <row r="1179">
          <cell r="A1179">
            <v>1176</v>
          </cell>
          <cell r="B1179" t="str">
            <v>010.000.6314.00</v>
          </cell>
          <cell r="E1179" t="str">
            <v>IXAZOMIB. CÁPSULA CADA CÁPSULA CONTIENE: CITRATO DE IXAZOMIB 5.70 MG EQUIVALENTE A 4.0 MG DE IXAZOMIB. CAJA COLECTIVA CON 3 CÁPSULAS. CADA CÁPSULA ESTÁ CONTENIDA EN UN ENVASE DE BURBUJA SELLADA EN UNA CARTERA DE CARTÓN, DENTRO DE UNA CAJA INDIVIDUAL.</v>
          </cell>
          <cell r="U1179">
            <v>1556</v>
          </cell>
          <cell r="V1179">
            <v>3888</v>
          </cell>
        </row>
        <row r="1180">
          <cell r="A1180">
            <v>1177</v>
          </cell>
          <cell r="B1180" t="str">
            <v>010.000.6315.00</v>
          </cell>
          <cell r="E1180" t="str">
            <v>ÁCIDO RISEDRÓNICO/ COLECALCIFEROL. TABLETA Cada tableta contiene: Risedronato de sodio 35.00 mg Vitamina D3 (colecalciferol) 28.00 mg Equivalente a 2800 UI. Envase con 10 tabletas.</v>
          </cell>
          <cell r="U1180">
            <v>21332</v>
          </cell>
          <cell r="V1180">
            <v>53329</v>
          </cell>
        </row>
        <row r="1181">
          <cell r="A1181">
            <v>1178</v>
          </cell>
          <cell r="B1181" t="str">
            <v>010.000.6316.00</v>
          </cell>
          <cell r="E1181" t="str">
            <v>INSULINA DEGLUDEC. SOLUCIÓN INYECTABLE. CADA ML CONTIENE: INSULINA DEGLUDEC (ORIGEN ADN RECOMBINANTE) 100 U. CAJA DE CARTÓN CON 1 PLUMA PRECARGADA CON 3 ML.</v>
          </cell>
          <cell r="U1181">
            <v>9366</v>
          </cell>
          <cell r="V1181">
            <v>23413</v>
          </cell>
        </row>
        <row r="1182">
          <cell r="A1182">
            <v>1179</v>
          </cell>
          <cell r="B1182" t="str">
            <v>010.000.6316.01</v>
          </cell>
          <cell r="E1182" t="str">
            <v>INSULINA DEGLUDEC. SOLUCIÓN INYECTABLE. Cada mL contiene: Insulina degludec (origen ADN recombinante) 100 U. Caja de cartón con 5 plumas precargada con 3 mL.</v>
          </cell>
          <cell r="U1182">
            <v>11386</v>
          </cell>
          <cell r="V1182">
            <v>28464</v>
          </cell>
        </row>
        <row r="1183">
          <cell r="A1183">
            <v>1180</v>
          </cell>
          <cell r="B1183" t="str">
            <v>010.000.6323.00</v>
          </cell>
          <cell r="E1183" t="str">
            <v>DURVALUMAB. SOLUCIÓN INYECTABLE. CADA FRASCO CONTIENE: DURVALUMAB 120 MG. CAJA DE CARTÓN CON UN FRASCO ÁMPULA CON 120 MG/ 2.4 ML.</v>
          </cell>
          <cell r="U1183">
            <v>403</v>
          </cell>
          <cell r="V1183">
            <v>1005</v>
          </cell>
        </row>
        <row r="1184">
          <cell r="A1184">
            <v>1181</v>
          </cell>
          <cell r="B1184" t="str">
            <v>010.000.6325.00</v>
          </cell>
          <cell r="E1184" t="str">
            <v>BENDAMUSTINA. SOLUCIÓN INYECTABLE. Cada frasco ámpula contiene: Clorhidrato de bendamustina 100 mg/4 mL. Envase con 1 frasco ámpula.</v>
          </cell>
          <cell r="U1184">
            <v>5901</v>
          </cell>
          <cell r="V1184">
            <v>14750</v>
          </cell>
        </row>
        <row r="1185">
          <cell r="A1185">
            <v>1182</v>
          </cell>
          <cell r="B1185" t="str">
            <v>010.000.6329.03</v>
          </cell>
          <cell r="E1185" t="str">
            <v>IVERMECTINA. TABLETA Cada tableta contiene 6 mg de ivermectina. Caja de cartón con 100 tabletas.</v>
          </cell>
          <cell r="U1185">
            <v>10</v>
          </cell>
          <cell r="V1185">
            <v>24</v>
          </cell>
        </row>
        <row r="1186">
          <cell r="A1186">
            <v>1183</v>
          </cell>
          <cell r="B1186" t="str">
            <v>010.000.6330.00</v>
          </cell>
          <cell r="E1186" t="str">
            <v>BROMURO DE IPRATROPIO/FENOTEROL. AEROSOL. Cada mL contiene: Bromuro de ipratropio equivalente a: 0.394 mg. Fenoterol equivalente a: 0.938 mg. Envase con un frasco presurizado con dispositivo para inhalación 10 mL = 200 dosis.</v>
          </cell>
          <cell r="U1186">
            <v>248268</v>
          </cell>
          <cell r="V1186">
            <v>620667</v>
          </cell>
        </row>
        <row r="1187">
          <cell r="A1187">
            <v>1184</v>
          </cell>
          <cell r="B1187" t="str">
            <v>010.000.6331.00</v>
          </cell>
          <cell r="E1187" t="str">
            <v xml:space="preserve">MIGLUSTAT. CÁPSULA Cada cápsula contiene: Miglustat 100 mg. Envase con 84 cápsulas
</v>
          </cell>
          <cell r="U1187">
            <v>222</v>
          </cell>
          <cell r="V1187">
            <v>554</v>
          </cell>
        </row>
        <row r="1188">
          <cell r="A1188">
            <v>1185</v>
          </cell>
          <cell r="B1188" t="str">
            <v>010.000.6333.00</v>
          </cell>
          <cell r="E1188" t="str">
            <v>LISINOPRIL. CÁPSULA O TABLETA Cada cápsula o tableta contiene: Lisinopril 10 mg. Envase con 30 cápsulas o tabletas.</v>
          </cell>
          <cell r="U1188">
            <v>2121</v>
          </cell>
          <cell r="V1188">
            <v>5302</v>
          </cell>
        </row>
        <row r="1189">
          <cell r="A1189">
            <v>1186</v>
          </cell>
          <cell r="B1189" t="str">
            <v>010.000.6334.00</v>
          </cell>
          <cell r="E1189" t="str">
            <v>RAMIPRIL. CÁPSULA O TABLETA CADA CÁPSULA O TABLETA CONTIENE: RAMIPRIL 10 MG. ENVASE CON 30 CÁPSULAS O TABLETAS.</v>
          </cell>
          <cell r="U1189">
            <v>37</v>
          </cell>
          <cell r="V1189">
            <v>90</v>
          </cell>
        </row>
        <row r="1190">
          <cell r="A1190">
            <v>1187</v>
          </cell>
          <cell r="B1190" t="str">
            <v>010.000.6335.00</v>
          </cell>
          <cell r="E1190" t="str">
            <v>PEGASPARGASA. SOLUCIÓN CADA VIAL CONTIENE: PEGASPARGASA 3,750 UI EXCIPIENTE CBP 5 ML CAJA DE CARTÓN CON UN FRASCO ÁMPULA DE 3,750 UI EN 5 ML (750 UI/ ML)</v>
          </cell>
          <cell r="U1190">
            <v>4223</v>
          </cell>
          <cell r="V1190">
            <v>10556</v>
          </cell>
        </row>
        <row r="1191">
          <cell r="A1191">
            <v>1188</v>
          </cell>
          <cell r="B1191" t="str">
            <v>010.000.6336.00</v>
          </cell>
          <cell r="E1191" t="str">
            <v>CLARITROMICINA. SOLUCIÓN INYECTABLE Cada frasco ámpula contiene: Claritromicina 500 mg Envase con frasco ámpula</v>
          </cell>
          <cell r="U1191">
            <v>31936</v>
          </cell>
          <cell r="V1191">
            <v>79839</v>
          </cell>
        </row>
        <row r="1192">
          <cell r="A1192">
            <v>1189</v>
          </cell>
          <cell r="B1192" t="str">
            <v>010.000.6337.01</v>
          </cell>
          <cell r="E1192" t="str">
            <v>GLIMEPIRIDA. TABLETAS CADA TABLETA CONTIENE GLIMEPIRIDA 2 MG ENVASE CON 30 TABLETAS</v>
          </cell>
          <cell r="U1192">
            <v>305199</v>
          </cell>
          <cell r="V1192">
            <v>762995</v>
          </cell>
        </row>
        <row r="1193">
          <cell r="A1193">
            <v>1190</v>
          </cell>
          <cell r="B1193" t="str">
            <v>010.000.6338.00</v>
          </cell>
          <cell r="E1193" t="str">
            <v>CISTEAMINA. Colirio, Clorhidrato de Cisteamina Equivalente a 3.8 mg Cisteamina, Cloruro de benzalconio (0.2mg/mL) Caja con un frasco ámpula con 5 mL de solución (3.8 mg/mL) e instructivo anexo.</v>
          </cell>
          <cell r="U1193">
            <v>2507</v>
          </cell>
          <cell r="V1193">
            <v>6266</v>
          </cell>
        </row>
        <row r="1194">
          <cell r="A1194">
            <v>1191</v>
          </cell>
          <cell r="B1194" t="str">
            <v>010.000.6340.00</v>
          </cell>
          <cell r="E1194" t="str">
            <v>METFORMINA/ GLIMEPIRIDA. TABLETA Cada tableta de liberación prolongada contiene: Clorhidrato de metformina 850 mg. Glimepirida 2 mg Envase con 32 tabletas.</v>
          </cell>
          <cell r="U1194">
            <v>1469</v>
          </cell>
          <cell r="V1194">
            <v>3670</v>
          </cell>
        </row>
        <row r="1195">
          <cell r="A1195">
            <v>1192</v>
          </cell>
          <cell r="B1195" t="str">
            <v>010.000.6342.00</v>
          </cell>
          <cell r="E1195" t="str">
            <v>CEFIXIMA. CÁPSULA CADA CÁPSULA CONTIENE: CEFIXIMA TRIHIDRATADA EQUIVALENTE A CEFIXIMA 200 MG. CAJA DE CARTÓN CON 5 CÁPSULAS.</v>
          </cell>
          <cell r="U1195">
            <v>85</v>
          </cell>
          <cell r="V1195">
            <v>210</v>
          </cell>
        </row>
        <row r="1196">
          <cell r="A1196">
            <v>1193</v>
          </cell>
          <cell r="B1196" t="str">
            <v>010.000.6342.02</v>
          </cell>
          <cell r="E1196" t="str">
            <v>CEFIXIMA. CÁPSULA Cada cápsula contiene: Cefixima trihidratada equivalente a cefixima 200 mg. Caja de cartón con 12 cápsulas.</v>
          </cell>
          <cell r="U1196">
            <v>169</v>
          </cell>
          <cell r="V1196">
            <v>421</v>
          </cell>
        </row>
        <row r="1197">
          <cell r="A1197">
            <v>1194</v>
          </cell>
          <cell r="B1197" t="str">
            <v>010.000.6342.03</v>
          </cell>
          <cell r="E1197" t="str">
            <v>CEFIXIMA. CÁPSULA CADA CÁPSULA CONTIENE: CEFIXIMA TRIHIDRATADA EQUIVALENTE A CEFIXIMA 200 MG. CAJA DE CARTÓN CON 20 CÁPSULAS.</v>
          </cell>
          <cell r="U1197">
            <v>4</v>
          </cell>
          <cell r="V1197">
            <v>8</v>
          </cell>
        </row>
        <row r="1198">
          <cell r="A1198">
            <v>1195</v>
          </cell>
          <cell r="B1198" t="str">
            <v>010.000.6343.00</v>
          </cell>
          <cell r="E1198" t="str">
            <v>CEFIXIMA. CÁPSULA CADA CÁPSULA CONTIENE: CEFIXIMA TRIHIDRATADA EQUIVALENTE A CEFIXIMA 400 MG. CAJA DE CARTÓN CON 3 CÁPSULAS.</v>
          </cell>
          <cell r="U1198">
            <v>10</v>
          </cell>
          <cell r="V1198">
            <v>23</v>
          </cell>
        </row>
        <row r="1199">
          <cell r="A1199">
            <v>1196</v>
          </cell>
          <cell r="B1199" t="str">
            <v>010.000.6343.01</v>
          </cell>
          <cell r="E1199" t="str">
            <v>CEFIXIMA. CÁPSULA CADA CÁPSULA CONTIENE: CEFIXIMA TRIHIDRATADA EQUIVALENTE A CEFIXIMA 400 MG. CAJA DE CARTÓN CON 5 CÁPSULAS.</v>
          </cell>
          <cell r="U1199">
            <v>2</v>
          </cell>
          <cell r="V1199">
            <v>3</v>
          </cell>
        </row>
        <row r="1200">
          <cell r="A1200">
            <v>1197</v>
          </cell>
          <cell r="B1200" t="str">
            <v>010.000.6343.02</v>
          </cell>
          <cell r="E1200" t="str">
            <v>CEFIXIMA. CÁPSULA CADA CÁPSULA CONTIENE: CEFIXIMA TRIHIDRATADA EQUIVALENTE A CEFIXIMA 400 MG. CAJA DE CARTÓN CON 6 CÁPSULAS.</v>
          </cell>
          <cell r="U1200">
            <v>21865</v>
          </cell>
          <cell r="V1200">
            <v>54661</v>
          </cell>
        </row>
        <row r="1201">
          <cell r="A1201">
            <v>1198</v>
          </cell>
          <cell r="B1201" t="str">
            <v>010.000.6343.04</v>
          </cell>
          <cell r="E1201" t="str">
            <v>CEFIXIMA. CÁPSULA CADA CÁPSULA CONTIENE: CEFIXIMA TRIHIDRATADA EQUIVALENTE A CEFIXIMA 400 MG. CAJA DE CARTÓN CON 14 CÁPSULAS.</v>
          </cell>
          <cell r="U1201">
            <v>6</v>
          </cell>
          <cell r="V1201">
            <v>13</v>
          </cell>
        </row>
        <row r="1202">
          <cell r="A1202">
            <v>1199</v>
          </cell>
          <cell r="B1202" t="str">
            <v>010.000.6343.05</v>
          </cell>
          <cell r="E1202" t="str">
            <v>CEFIXIMA. CÁPSULA CADA CÁPSULA CONTIENE: CEFIXIMA TRIHIDRATADA EQUIVALENTE A CEFIXIMA 400 MG. CAJA DE CARTÓN CON 20 CÁPSULAS.</v>
          </cell>
          <cell r="U1202">
            <v>4</v>
          </cell>
          <cell r="V1202">
            <v>8</v>
          </cell>
        </row>
        <row r="1203">
          <cell r="A1203">
            <v>1200</v>
          </cell>
          <cell r="B1203" t="str">
            <v>010.000.6344.01</v>
          </cell>
          <cell r="E1203" t="str">
            <v>CEFIXIMA SUSPENSIÓN ORAL
  Cada 5 mL de suspensión contienen:
  Cefixima 100 mg
  Frasco con polvo para reconstituir 100
  mL, con pipeta dosificadora.</v>
          </cell>
          <cell r="U1203">
            <v>11713</v>
          </cell>
          <cell r="V1203">
            <v>29280</v>
          </cell>
        </row>
        <row r="1204">
          <cell r="A1204">
            <v>1201</v>
          </cell>
          <cell r="B1204" t="str">
            <v>010.000.6344.02</v>
          </cell>
          <cell r="E1204" t="str">
            <v>CEFIXIMA. SUSPENSION ORAL CADA 5 ML DE SUSPENSION CONTIENEN: CEFIXIMA 100 MGFRASCO CON POLVO PARA RECONSTITUIR 100 ML, CON PIPETA DOSIFICADORA.</v>
          </cell>
          <cell r="U1204">
            <v>5250</v>
          </cell>
          <cell r="V1204">
            <v>13124</v>
          </cell>
        </row>
        <row r="1205">
          <cell r="A1205">
            <v>1202</v>
          </cell>
          <cell r="B1205" t="str">
            <v>010.000.6346.00</v>
          </cell>
          <cell r="E1205" t="str">
            <v>MEDROXIPROGESTERONA. SUSPENSIÓN INYECTABLE Cada jeringa contiene: Acetato de medroxiprogesterona 104.000 mg Caja con jeringa prellenada (104 mg/0.65 mL) e instructivo anexo.</v>
          </cell>
          <cell r="U1205">
            <v>99075</v>
          </cell>
          <cell r="V1205">
            <v>247686</v>
          </cell>
        </row>
        <row r="1206">
          <cell r="A1206">
            <v>1203</v>
          </cell>
          <cell r="B1206" t="str">
            <v>010.000.6355.00</v>
          </cell>
          <cell r="E1206" t="str">
            <v>BRIGATINIB. TABLETA. CADA TABLETA CONTIENE: BRIGATINIB. 180 MG. CAJA CON UN FRASCO CON 30 TABLETAS.</v>
          </cell>
          <cell r="U1206">
            <v>502</v>
          </cell>
          <cell r="V1206">
            <v>1251</v>
          </cell>
        </row>
        <row r="1207">
          <cell r="A1207">
            <v>1204</v>
          </cell>
          <cell r="B1207" t="str">
            <v>010.000.6360.01</v>
          </cell>
          <cell r="E1207" t="str">
            <v>ESOMEPRAZOL. GRANULADO, GRANULADO PARA SUSPENSIÓN ORAL CONTIENE: ESOMEPRAZOL 2.5 MG CAJA CON 14 SOBRES DE 2.5 MG</v>
          </cell>
          <cell r="U1207">
            <v>80</v>
          </cell>
          <cell r="V1207">
            <v>200</v>
          </cell>
        </row>
        <row r="1208">
          <cell r="A1208">
            <v>1205</v>
          </cell>
          <cell r="B1208" t="str">
            <v>010.000.6361.01</v>
          </cell>
          <cell r="E1208" t="str">
            <v>ESOMEPRAZOL. GRANULADO, GRANULADO PARA SUSPENSIÓN ORAL CONTIENE: ESOMEPRAZOL 5 MG CAJA CON 14 SOBRES DE 5 MG</v>
          </cell>
          <cell r="U1208">
            <v>3</v>
          </cell>
          <cell r="V1208">
            <v>5</v>
          </cell>
        </row>
        <row r="1209">
          <cell r="A1209">
            <v>1206</v>
          </cell>
          <cell r="B1209" t="str">
            <v>010.000.6362.00</v>
          </cell>
          <cell r="E1209" t="str">
            <v>ESOMEPRAZOL. GRANULADO, GRANULADO PARA SUSPENSIÓN ORAL CONTIENE: ESOMEPRAZOL 10 MG CAJA CON 7 SOBRES DE 10 MG</v>
          </cell>
          <cell r="U1209">
            <v>90</v>
          </cell>
          <cell r="V1209">
            <v>223</v>
          </cell>
        </row>
        <row r="1210">
          <cell r="A1210">
            <v>1207</v>
          </cell>
          <cell r="B1210" t="str">
            <v>010.000.6364.02</v>
          </cell>
          <cell r="E1210" t="str">
            <v>ESOMEPRAZOL. GRANULADO, Granulado para suspensión oral contiene: Esomeprazol 40 mg Caja con 28 sobres de 40 mg</v>
          </cell>
          <cell r="U1210">
            <v>48</v>
          </cell>
          <cell r="V1210">
            <v>118</v>
          </cell>
        </row>
        <row r="1211">
          <cell r="A1211">
            <v>1208</v>
          </cell>
          <cell r="B1211" t="str">
            <v>010.000.6367.01</v>
          </cell>
          <cell r="E1211" t="str">
            <v>ALVERINA/SIMETICONA CÁPSULAS Cada cápsula contiene: Citrato de alverina 60 mg. Simeticona 300 mg. Caja con 40 cápsulas.</v>
          </cell>
          <cell r="U1211">
            <v>1354</v>
          </cell>
          <cell r="V1211">
            <v>3383</v>
          </cell>
        </row>
        <row r="1212">
          <cell r="A1212">
            <v>1209</v>
          </cell>
          <cell r="B1212" t="str">
            <v>010.000.6368.00</v>
          </cell>
          <cell r="E1212" t="str">
            <v>DOXICICLINA SOLUCIÓN Solución con 25.370 mg de hiclatode doxiciclina, equivalente a 20 mgde doxiciclina. Caja con 1 ámpula de 5 mL</v>
          </cell>
          <cell r="U1212">
            <v>11166</v>
          </cell>
          <cell r="V1212">
            <v>27912</v>
          </cell>
        </row>
        <row r="1213">
          <cell r="A1213">
            <v>1210</v>
          </cell>
          <cell r="B1213" t="str">
            <v>010.000.6369.00</v>
          </cell>
          <cell r="E1213" t="str">
            <v>Liofilizado estandarizado de lisados bacterianos Cápsula. Cada cápsula contiene 3.5 mg de liofilizado estandarizado de lisados bacterianos. Caja de cartón con 30 cápsulas de 3.5 mg.</v>
          </cell>
          <cell r="U1213">
            <v>7040</v>
          </cell>
          <cell r="V1213">
            <v>17600</v>
          </cell>
        </row>
        <row r="1214">
          <cell r="A1214">
            <v>1211</v>
          </cell>
          <cell r="B1214" t="str">
            <v>010.000.6500.00</v>
          </cell>
          <cell r="E1214" t="str">
            <v>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v>
          </cell>
          <cell r="U1214">
            <v>63136</v>
          </cell>
          <cell r="V1214">
            <v>157839</v>
          </cell>
        </row>
        <row r="1215">
          <cell r="A1215">
            <v>1212</v>
          </cell>
          <cell r="B1215" t="str">
            <v>010.000.6500.01</v>
          </cell>
          <cell r="E1215" t="str">
            <v>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1970 ml con Glucosa / Aminoácidos con electrolitos / lípidos (42%/10%/20%).</v>
          </cell>
          <cell r="U1215">
            <v>8811</v>
          </cell>
          <cell r="V1215">
            <v>22027</v>
          </cell>
        </row>
        <row r="1216">
          <cell r="A1216">
            <v>1213</v>
          </cell>
          <cell r="B1216" t="str">
            <v>010.000.6501.00</v>
          </cell>
          <cell r="E1216" t="str">
            <v>DIOSMECTITA. POLVO CADA SOBRE CONTIENE: DIOSMECTITA 3.000 G. ENVASE CON 10 SOBRES DE 3 G, E INSTRUCTIVO ANEXO.</v>
          </cell>
          <cell r="U1216">
            <v>140</v>
          </cell>
          <cell r="V1216">
            <v>350</v>
          </cell>
        </row>
        <row r="1217">
          <cell r="A1217">
            <v>1214</v>
          </cell>
          <cell r="B1217" t="str">
            <v>010.000.6502.00</v>
          </cell>
          <cell r="E1217" t="str">
            <v>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v>
          </cell>
          <cell r="U1217">
            <v>34858</v>
          </cell>
          <cell r="V1217">
            <v>87142</v>
          </cell>
        </row>
        <row r="1218">
          <cell r="A1218">
            <v>1215</v>
          </cell>
          <cell r="B1218" t="str">
            <v>010.000.6507.00</v>
          </cell>
          <cell r="E1218" t="str">
            <v>LÍPIDOS/AMINOÁCIDOS/GLUCOSA. (Lípidos al 20%, aminoácidos al 14.2% con electrolitos, glucosa al 27.5% con calcio), EMULSIÓN INYECTABLE INTRAVENOSA, Cada 100 ml contiene: Compartimiento de lípidos: Aceite de soya refinado y Aceite de oliva refinado 20.000g. Envase con bolsa de plástico de 1000 ml, con tres compartimentos (200 ml para lípidos, 400 ml para aminoácidos con electrólitos, 400 ml para glucosa con calcio).</v>
          </cell>
          <cell r="U1218">
            <v>6892</v>
          </cell>
          <cell r="V1218">
            <v>17227</v>
          </cell>
        </row>
        <row r="1219">
          <cell r="A1219">
            <v>1216</v>
          </cell>
          <cell r="B1219" t="str">
            <v>010.000.6507.01</v>
          </cell>
          <cell r="E1219" t="str">
            <v>LÍPIDOS/AMINOÁCIDOS/GLUCOSA. (Lípidos al 20%, aminoácidos al 14.2% con electrolitos, glucosa al 27.5% con calcio), EMULSIÓN INYECTABLE INTRAVENOSA, Cada 100 ml contiene: Compartimiento de lípidos: Aceite de soya refinado y Aceite de oliva refinado 20.000g. Envase con bolsa de plástico de 1500 ml con tres compartimentos (300 ml para lípidos; 600 ml para aminoácidos con electrolitos; 600 ml para glucosa con calcio).</v>
          </cell>
          <cell r="U1219">
            <v>1660</v>
          </cell>
          <cell r="V1219">
            <v>4148</v>
          </cell>
        </row>
        <row r="1220">
          <cell r="A1220">
            <v>1217</v>
          </cell>
          <cell r="B1220" t="str">
            <v>010.000.6507.02</v>
          </cell>
          <cell r="E1220" t="str">
            <v>LÍPIDOS/AMINOÁCIDOS/GLUCOSA. (LÍPIDOS AL 20%, AMINOÁCIDOS AL 14.2% CON ELECTROLITOS, GLUCOSA AL 27.5% CON CALCIO), EMULSIÓN INYECTABLE INTRAVENOSA, CADA 100 ML CONTIENE: COMPARTIMIENTO DE LÍPIDOS: ACEITE DE SOYA REFINADO Y ACEITE DE OLIVA REFINADO 20.000G. ENVASE CON BOLSA DE PLÁSTICO DE 2000 ML CON TRES COMPARTIMENTOS (400 ML PARA LÍPIDOS; 800 ML PARA AMINOÁCIDOS CON ELECTROLITOS; 800 ML PARA GLUCOSA CON CALCIO).</v>
          </cell>
          <cell r="U1220">
            <v>2290</v>
          </cell>
          <cell r="V1220">
            <v>5723</v>
          </cell>
        </row>
        <row r="1221">
          <cell r="A1221">
            <v>1218</v>
          </cell>
          <cell r="B1221" t="str">
            <v>010.000.6508.00</v>
          </cell>
          <cell r="E1221" t="str">
            <v>LIPIDOS/AMINOACIDOS/GLUCOSA. (LIPIDOS AL 20%, AMINOACIDOS AL 14.2%, GLUCOSA AL27.5%), EMULSION INYECTABLE INTRAVENOSA, CADA 100 ML CONTIENE: COMPARTIMIENTO DE LIPIDOS: ACEITE DE SOYA REFINADO Y ACEITE DE OLIVA REFINADO 20.000G. ENVASE CON BOLSA DE PLASTICO DE 1000 ML, CON TRES COMPARTIMENTOS (200 ML PARA LIPIDOS,400 ML PARA AMINOACIDOS, 400 ML PARA GLUCOSA).</v>
          </cell>
          <cell r="U1221">
            <v>2150</v>
          </cell>
          <cell r="V1221">
            <v>5372</v>
          </cell>
        </row>
        <row r="1222">
          <cell r="A1222">
            <v>1219</v>
          </cell>
          <cell r="B1222" t="str">
            <v>010.000.6508.01</v>
          </cell>
          <cell r="E1222" t="str">
            <v>LÍPIDOS/AMINOÁCIDOS/GLUCOSA. (Lípidos al 20%, aminoácidos al 14.2%, glucosa al 27.5%), EMULSIÓN INYECTABLE INTRAVENOSA, Cada 100 ml contiene: Compartimiento de lípidos: Aceite de soya refinado y Aceite de oliva refinado 20.000g. Envase con bolsa de plástico de 1500 ml con tres compartimentos (300 ml para lípidos; 600 ml para aminoácidos; 600 ml para glucosa).</v>
          </cell>
          <cell r="U1222">
            <v>681</v>
          </cell>
          <cell r="V1222">
            <v>1700</v>
          </cell>
        </row>
        <row r="1223">
          <cell r="A1223">
            <v>1220</v>
          </cell>
          <cell r="B1223" t="str">
            <v>010.000.7004.01</v>
          </cell>
          <cell r="E1223" t="str">
            <v>SOLUCIÓN INYECTABLE. JERINGA PRELLENADA CONTIENE: GUSELKUMAB 100 MG.</v>
          </cell>
          <cell r="U1223">
            <v>268</v>
          </cell>
          <cell r="V1223">
            <v>668</v>
          </cell>
        </row>
        <row r="1224">
          <cell r="A1224">
            <v>1221</v>
          </cell>
          <cell r="B1224" t="str">
            <v>010.000.7007.00</v>
          </cell>
          <cell r="E1224" t="str">
            <v>SEMAGLUTIDA. SOLUCIÓN INYECTABLE. Cada mililitro contiene: Semaglutida 1.340 mg. GLP-1 de origen ADN recombinante. Caja de cartón con una pluma precargada con 1.5 mL (1.34 mg/mL) de solución, incluye 6 agujas desechables.</v>
          </cell>
          <cell r="U1224">
            <v>1272</v>
          </cell>
          <cell r="V1224">
            <v>3176</v>
          </cell>
        </row>
        <row r="1225">
          <cell r="A1225">
            <v>1222</v>
          </cell>
          <cell r="B1225" t="str">
            <v>010.000.7008.00</v>
          </cell>
          <cell r="E1225" t="str">
            <v>LANADELUMAB. SOLUCIÓN INYECTABLE. CADA FRASCO ÁMPULA CONTIENE: LANADELUMAB 300MG. CAJA CON UN FRASCO ÁMPULA CON 2ML DE SOLUCIÓN (150MG/ML), 1 JERINGA DE 3ML, 1 AGUJA DE 18G Y 1 AGUJA PARA INYECCIÓN E INSTRUCTIVO ANEXO.</v>
          </cell>
          <cell r="U1225">
            <v>225</v>
          </cell>
          <cell r="V1225">
            <v>562</v>
          </cell>
        </row>
        <row r="1226">
          <cell r="A1226">
            <v>1223</v>
          </cell>
          <cell r="B1226" t="str">
            <v>010.000.7010.01</v>
          </cell>
          <cell r="E1226" t="str">
            <v>SAPROPTERINA. TABLETA. DISPERSABLE (SOLUBLE). Cada tableta contiene: Dihidrocloruro de sapropterina 100 mg. Equivalente a 77 mg de sapropterina. Caja de cartón con frasco con 120 tabletas.</v>
          </cell>
          <cell r="U1226">
            <v>162</v>
          </cell>
          <cell r="V1226">
            <v>404</v>
          </cell>
        </row>
        <row r="1227">
          <cell r="A1227">
            <v>1224</v>
          </cell>
          <cell r="B1227" t="str">
            <v>010.000.7011.00</v>
          </cell>
          <cell r="E1227" t="str">
            <v>LORLATINIB. TABLETA. Cada tableta contiene: 100 mg de Lorlatinib. Caja con 30 tabletas de 100 mg.</v>
          </cell>
          <cell r="U1227">
            <v>107</v>
          </cell>
          <cell r="V1227">
            <v>266</v>
          </cell>
        </row>
        <row r="1228">
          <cell r="A1228">
            <v>1225</v>
          </cell>
          <cell r="B1228" t="str">
            <v>010.000.7012.00</v>
          </cell>
          <cell r="E1228" t="str">
            <v>LORLATINIB. TABLETA. Cada tableta contiene: 25 mg de Lorlatinib. Caja con 30 tabletas de 25 mg.</v>
          </cell>
          <cell r="U1228">
            <v>174</v>
          </cell>
          <cell r="V1228">
            <v>432</v>
          </cell>
        </row>
        <row r="1229">
          <cell r="A1229">
            <v>1226</v>
          </cell>
          <cell r="B1229" t="str">
            <v>010.000.7014.03</v>
          </cell>
          <cell r="E1229" t="str">
            <v>BREXPIPRAZOL. CADA TABLETA CONTIENE: BREXPIPRAZOL 1.00 MG. ENVASE CON 28 TABLETAS.</v>
          </cell>
          <cell r="U1229">
            <v>180</v>
          </cell>
          <cell r="V1229">
            <v>450</v>
          </cell>
        </row>
        <row r="1230">
          <cell r="A1230">
            <v>1227</v>
          </cell>
          <cell r="B1230" t="str">
            <v>010.000.7015.01</v>
          </cell>
          <cell r="E1230" t="str">
            <v>BREXPIPRAZOL. Cada tableta contiene: Brexpiprazol 2.00 mg. Envase con 28 tabletas.</v>
          </cell>
          <cell r="U1230">
            <v>104</v>
          </cell>
          <cell r="V1230">
            <v>260</v>
          </cell>
        </row>
        <row r="1231">
          <cell r="A1231">
            <v>1228</v>
          </cell>
          <cell r="B1231" t="str">
            <v>010.000.7017.00</v>
          </cell>
          <cell r="E1231" t="str">
            <v>BUROSUMAB. SOLUCIÓN. Cada frasco ámpula contiene: burosumab 10 mg. Envase con un frasco ámpula con 1 mL (10 mg/mL).</v>
          </cell>
          <cell r="U1231">
            <v>814</v>
          </cell>
          <cell r="V1231">
            <v>2035</v>
          </cell>
        </row>
        <row r="1232">
          <cell r="A1232">
            <v>1229</v>
          </cell>
          <cell r="B1232" t="str">
            <v>010.000.7017.01</v>
          </cell>
          <cell r="E1232" t="str">
            <v>BUROSUMAB. SOLUCIÓN. Cada frasco ámpula contiene: burosumab 20 mg. Envase con un frasco ámpula con 1 mL (20 mg/mL).</v>
          </cell>
          <cell r="U1232">
            <v>586</v>
          </cell>
          <cell r="V1232">
            <v>1463</v>
          </cell>
        </row>
        <row r="1233">
          <cell r="A1233">
            <v>1230</v>
          </cell>
          <cell r="B1233" t="str">
            <v>010.000.7017.02</v>
          </cell>
          <cell r="E1233" t="str">
            <v>BUROSUMAB. SOLUCIÓN. Cada frasco ámpula contiene: burosumab 30 mg. Envase con un frasco ámpula con 1 mL (30 mg/mL).</v>
          </cell>
          <cell r="U1233">
            <v>423</v>
          </cell>
          <cell r="V1233">
            <v>1054</v>
          </cell>
        </row>
        <row r="1234">
          <cell r="A1234">
            <v>1231</v>
          </cell>
          <cell r="B1234" t="str">
            <v>010.000.7019.02</v>
          </cell>
          <cell r="E1234" t="str">
            <v>RURIOCTOCOG ALFA PEGOL. SOLUCIÓN. Cada frasco ámpula con polvo liofilizado contiene: Rurioctocog alfa pegol 500 UI. Caja de cartón con un frasco ámpula con 500 UI de polvo liofilizado, un frasco ámpula con 5 mL de diluyente, un equipo para la reconstitución Baxject II Hi-Flow e instructivo anexo. Caja de cartón con accesorios: una aguja mariposa, una jeringa desechable de 10 mL y dos toallitas impregnadas con alcohol.</v>
          </cell>
          <cell r="U1234">
            <v>643</v>
          </cell>
          <cell r="V1234">
            <v>1606</v>
          </cell>
        </row>
        <row r="1235">
          <cell r="A1235">
            <v>1232</v>
          </cell>
          <cell r="B1235" t="str">
            <v>010.000.7021.00</v>
          </cell>
          <cell r="E1235" t="str">
            <v>ÁCIDO TRANEXÁMICO. SOLUCIÓN INYECTABLE. Cada mL de solución estéril para inyección intravenosa contiene: Ácido tranexámico 100 mg. Vehículo c.b.p. 1 mL. Caja con 10 viales de 5 mL.</v>
          </cell>
          <cell r="U1235">
            <v>8622</v>
          </cell>
          <cell r="V1235">
            <v>21552</v>
          </cell>
        </row>
        <row r="1236">
          <cell r="A1236">
            <v>1233</v>
          </cell>
          <cell r="B1236" t="str">
            <v>010.000.7021.01</v>
          </cell>
          <cell r="E1236" t="str">
            <v>ÁCIDO TRANEXÁMICO. SOLUCIÓN INYECTABLE. Cada mL de solución estéril para inyección intravenosa contiene: Ácido tranexámico 100 mg. Vehículo c.b.p. 1 mL. Caja con 10 viales de 10 mL.</v>
          </cell>
          <cell r="U1236">
            <v>28804</v>
          </cell>
          <cell r="V1236">
            <v>72007</v>
          </cell>
        </row>
        <row r="1237">
          <cell r="A1237">
            <v>1234</v>
          </cell>
          <cell r="B1237" t="str">
            <v>010.000.7023.01</v>
          </cell>
          <cell r="E1237" t="str">
            <v>DULAGLUTIDA. SOLUCIÓN INYECTABLE. Pluma precargada con 1.5 mg/ 0.5 mL de dulaglutida. Envase con cuatro plumas precargadas.</v>
          </cell>
          <cell r="U1237">
            <v>2390</v>
          </cell>
          <cell r="V1237">
            <v>5972</v>
          </cell>
        </row>
        <row r="1238">
          <cell r="A1238">
            <v>1235</v>
          </cell>
          <cell r="B1238" t="str">
            <v>010.000.7064.00</v>
          </cell>
          <cell r="E1238" t="str">
            <v>Belimumab SOLUCIÓN INYECTABLE Cada frasco contiene: Belimumab 200 mg Caja con 4 plumas precargadas.</v>
          </cell>
          <cell r="U1238">
            <v>704</v>
          </cell>
          <cell r="V1238">
            <v>1760</v>
          </cell>
        </row>
        <row r="1239">
          <cell r="A1239">
            <v>1236</v>
          </cell>
          <cell r="B1239" t="str">
            <v>010.000.7068.00</v>
          </cell>
          <cell r="E1239" t="str">
            <v>Dolutegravir Sódico Granulado.   equivalente a 5 mg de dolutegravir.</v>
          </cell>
          <cell r="U1239">
            <v>19971</v>
          </cell>
          <cell r="V1239">
            <v>49926</v>
          </cell>
        </row>
        <row r="1240">
          <cell r="A1240">
            <v>1237</v>
          </cell>
          <cell r="B1240" t="str">
            <v>010.000.7071.00</v>
          </cell>
          <cell r="E1240" t="str">
            <v>Carboximaltosa férrica Cada frasco ámpula contiene equivalente a 500 mg de Hierro elemental Frasco ámpula con 10 mL de solución</v>
          </cell>
          <cell r="U1240">
            <v>4791</v>
          </cell>
          <cell r="V1240">
            <v>11976</v>
          </cell>
        </row>
        <row r="1241">
          <cell r="A1241">
            <v>1238</v>
          </cell>
          <cell r="B1241" t="str">
            <v>010.000.7073.00</v>
          </cell>
          <cell r="E1241" t="str">
            <v>DIOSMINA/HESPERIDINA CAJA CON 30 TABLETAS 1000 MG</v>
          </cell>
          <cell r="U1241">
            <v>90449</v>
          </cell>
          <cell r="V1241">
            <v>226120</v>
          </cell>
        </row>
        <row r="1242">
          <cell r="A1242">
            <v>1239</v>
          </cell>
          <cell r="B1242" t="str">
            <v>010.000.7077.00</v>
          </cell>
          <cell r="E1242" t="str">
            <v>Rizankizumab. Solución. La pluma precargada contiene: Risankizumab 150 mg
Caja de cartón con una pluma precargada con 1 mL (150 mg/m</v>
          </cell>
          <cell r="U1242">
            <v>107</v>
          </cell>
          <cell r="V1242">
            <v>264</v>
          </cell>
        </row>
        <row r="1243">
          <cell r="A1243">
            <v>1240</v>
          </cell>
          <cell r="B1243" t="str">
            <v>010.000.7081.00</v>
          </cell>
          <cell r="E1243" t="str">
            <v>VESTRONIDASA ALFA SOLUCIÓN INYECTABLE PARA INFUSIÓN INTRAVENOSA CADA FRASCO AMPULA CONTIENE: VESTRONIDASA ALFA 10MG- VEHÍHULO C.B.P. 5ML.</v>
          </cell>
          <cell r="U1243">
            <v>329</v>
          </cell>
          <cell r="V1243">
            <v>821</v>
          </cell>
        </row>
        <row r="1244">
          <cell r="A1244">
            <v>1241</v>
          </cell>
          <cell r="B1244" t="str">
            <v>010.000.7082.00</v>
          </cell>
          <cell r="E1244" t="str">
            <v>DAMOCTOCOG ALFA PEGOL SOLUCIÓN INYECTABLE. Cada frasco ámpula con liofilizado contiene: Damoctocog alfa pegol 500 UI mariposa y protector de aguja e instructivo. Caja con frasco ámpula con 500 UI de polvo liofilizado, jeringa prellenada con 2.5 mL de diluyente, adaptador, set de infusión tipo</v>
          </cell>
          <cell r="U1244">
            <v>316</v>
          </cell>
          <cell r="V1244">
            <v>788</v>
          </cell>
        </row>
        <row r="1245">
          <cell r="A1245">
            <v>1242</v>
          </cell>
          <cell r="B1245" t="str">
            <v>010.000.7083.00</v>
          </cell>
          <cell r="E1245" t="str">
            <v>DAMOCTOCOG ALFA PEGOL SOLUCIÓN INYECTABLE. Cada frasco ámpula con liofilizado contiene: Damoctocog alfa pegol 1000 UI mariposa y protector de aguja e instructivo. Caja con frasco ámpula con 1000 UI de polvo liofilizado, jeringa prellenada con 2.5 mL de diluyente, adaptador, set de infusión tipo</v>
          </cell>
          <cell r="U1245">
            <v>477</v>
          </cell>
          <cell r="V1245">
            <v>1190</v>
          </cell>
        </row>
        <row r="1246">
          <cell r="A1246">
            <v>1243</v>
          </cell>
          <cell r="B1246" t="str">
            <v>010.000.7086.00</v>
          </cell>
          <cell r="E1246" t="str">
            <v>Factor X de la coagulación Humano. Solucion inyectable. Cada frasco ampula con polvo liofilizado contiene 250 UI de factor X de la coagulación humana. Caja con 1 frasco con polvo liofilizado con 250 UI, 1 frasco ampula con 2.5 ml de agua esteril inyetable y 1 dispositivo de transferencia con filtro 20/20.</v>
          </cell>
          <cell r="U1246">
            <v>448</v>
          </cell>
          <cell r="V1246">
            <v>1120</v>
          </cell>
        </row>
        <row r="1247">
          <cell r="A1247">
            <v>1244</v>
          </cell>
          <cell r="B1247" t="str">
            <v>010.000.7088.00</v>
          </cell>
          <cell r="E1247" t="str">
            <v>Risdiplam solución oral. Cada frasco contiene ridisplam 60 mg en polvo para reconstitución (0.75/mL)</v>
          </cell>
          <cell r="U1247">
            <v>931</v>
          </cell>
          <cell r="V1247">
            <v>2326</v>
          </cell>
        </row>
        <row r="1248">
          <cell r="A1248">
            <v>1245</v>
          </cell>
          <cell r="B1248" t="str">
            <v>010.000.7089.00</v>
          </cell>
          <cell r="E1248" t="str">
            <v>Nusinersen 12 mg. Solución inyectable. Cada frasco ámpula de 5 mL contiene: Nusinersen equialente a: 12 mg de Nusinersen como ácido libre (2.4 mg/mL). Envase con vial de 5 mL.</v>
          </cell>
          <cell r="U1248">
            <v>148</v>
          </cell>
          <cell r="V1248">
            <v>368</v>
          </cell>
        </row>
        <row r="1249">
          <cell r="A1249">
            <v>1246</v>
          </cell>
          <cell r="B1249" t="str">
            <v>010.000.7091.00</v>
          </cell>
          <cell r="E1249" t="str">
            <v>Avelumab. Solución Inyectable. Intravenosa.Cada frasco ámpula contiene: Avelumab 200mg Caja de cartón con frasco ámpula con 10 mL (200mg/10mL) e instructivo anexo.</v>
          </cell>
          <cell r="U1249">
            <v>440</v>
          </cell>
          <cell r="V1249">
            <v>1100</v>
          </cell>
        </row>
        <row r="1250">
          <cell r="A1250">
            <v>1247</v>
          </cell>
          <cell r="B1250" t="str">
            <v>010.000.7094.00</v>
          </cell>
          <cell r="E1250" t="str">
            <v>ROMOSOZUMAB SOLUCIÓN INYECTABLE CADA JERINGA PRELLENADA CONTIENE: ROMOSOZUMAB 105 MG Envase con 2 jeringas prellenadas con 1.17 mL.</v>
          </cell>
          <cell r="U1250">
            <v>2640</v>
          </cell>
          <cell r="V1250">
            <v>6600</v>
          </cell>
        </row>
        <row r="1251">
          <cell r="A1251">
            <v>1248</v>
          </cell>
          <cell r="B1251" t="str">
            <v>010.000.7097.00</v>
          </cell>
          <cell r="E1251" t="str">
            <v>Satralizumab. Solución Inyectable.Cada jeringa prellenada contiene: Satralizumab 120 mg
Caja con una jeringa prellenada de dosis única con 120 mg/ mL de solución estéril e instructivos anexos.</v>
          </cell>
          <cell r="U1251">
            <v>100</v>
          </cell>
          <cell r="V1251">
            <v>248</v>
          </cell>
        </row>
        <row r="1252">
          <cell r="A1252">
            <v>1249</v>
          </cell>
          <cell r="B1252" t="str">
            <v>010.000.7104.00</v>
          </cell>
          <cell r="E1252" t="str">
            <v>Finerenona 10 mg Caja de cartón con 28 comprimidos de 10 mg e instructivo anexo</v>
          </cell>
          <cell r="U1252">
            <v>1233</v>
          </cell>
          <cell r="V1252">
            <v>3080</v>
          </cell>
        </row>
        <row r="1253">
          <cell r="A1253">
            <v>1250</v>
          </cell>
          <cell r="B1253" t="str">
            <v>010.000.7111.00</v>
          </cell>
          <cell r="E1253" t="str">
            <v>DAPAGLIFLOZINA/ METFORMINA TABLETA. CADA TABLETA CONTIENE: DAPAGLIFLOZINA PROPANODIOL EQUIVALENTE A 10MG DE DAPAGLIFLOZINA CLORHIDRATO DE METFORMINA DE LIBERACIÓN PROLONGADA EQUIVALENTE A 1000MG DE METFORMINA. CAJA CON 28 TABLETAS</v>
          </cell>
          <cell r="U1253">
            <v>447999</v>
          </cell>
          <cell r="V1253">
            <v>1119996</v>
          </cell>
        </row>
        <row r="1254">
          <cell r="A1254">
            <v>1251</v>
          </cell>
          <cell r="B1254" t="str">
            <v>010.000.7113.00</v>
          </cell>
          <cell r="E1254" t="str">
            <v>Solucion Inyectable, Cada jeringa Prellenada Contiene Ofalotumab 20mg/0.4ml Caja con Una Jeringa Prellenada de 20mg/0.4mL e Instructivo Anexo</v>
          </cell>
          <cell r="U1254">
            <v>1048</v>
          </cell>
          <cell r="V1254">
            <v>2618</v>
          </cell>
        </row>
        <row r="1255">
          <cell r="A1255">
            <v>1252</v>
          </cell>
          <cell r="B1255" t="str">
            <v>010.000.7117.00</v>
          </cell>
          <cell r="E1255" t="str">
            <v>Natalizumab jeringa prellenada SC de 150 mg (caja con 2 jeringas)</v>
          </cell>
          <cell r="U1255">
            <v>2841</v>
          </cell>
          <cell r="V1255">
            <v>7099</v>
          </cell>
        </row>
        <row r="1256">
          <cell r="A1256">
            <v>1253</v>
          </cell>
          <cell r="B1256" t="str">
            <v>010.000.7118.00</v>
          </cell>
          <cell r="E1256" t="str">
            <v>TACROLIMUS 1 mg. (PROGRAF XL)</v>
          </cell>
          <cell r="U1256">
            <v>8106</v>
          </cell>
          <cell r="V1256">
            <v>20262</v>
          </cell>
        </row>
        <row r="1257">
          <cell r="A1257">
            <v>1254</v>
          </cell>
          <cell r="B1257" t="str">
            <v>010.000.7120.01</v>
          </cell>
          <cell r="E1257" t="str">
            <v>SITAGLIPTINA. TABLETA CADA TABLETA CONTIENE: CLORHIDRATO DE SITAGLIPTINA MONOHIDRATADA EQUIVALENTE A 100 MG DE SITAGLIPTINA. ENVASE CON 28 TABLETAS.</v>
          </cell>
          <cell r="U1257">
            <v>64892</v>
          </cell>
          <cell r="V1257">
            <v>162229</v>
          </cell>
        </row>
        <row r="1258">
          <cell r="A1258">
            <v>1255</v>
          </cell>
          <cell r="B1258" t="str">
            <v>010.000.7121.01</v>
          </cell>
          <cell r="E1258" t="str">
            <v>SITAGLIPTINA. TABLETA CADA TABLETA CONTIENE: CLORHIDRATO DE SITAGLIPTINAMONOHIDRATADA EQUIVALENTE A 50 MG DE SITAGLIPTINA. ENVASE CON 28 TABLETAS.</v>
          </cell>
          <cell r="U1258">
            <v>30332</v>
          </cell>
          <cell r="V1258">
            <v>75827</v>
          </cell>
        </row>
        <row r="1259">
          <cell r="A1259">
            <v>1256</v>
          </cell>
          <cell r="B1259" t="str">
            <v>010.000.7122.00</v>
          </cell>
          <cell r="E1259" t="str">
            <v>Triheptanoína 100% Solución Oral en frasco de 500 mL, 2 jeringas dosificadoras y adaptador de presión para frasco oral</v>
          </cell>
          <cell r="U1259">
            <v>77</v>
          </cell>
          <cell r="V1259">
            <v>190</v>
          </cell>
        </row>
        <row r="1260">
          <cell r="A1260">
            <v>1257</v>
          </cell>
          <cell r="B1260" t="str">
            <v>010.000.7130.00</v>
          </cell>
          <cell r="E1260" t="str">
            <v>Tafamidis CÁPSULA Cada cápsula contiene Tafamidis 61 mg. Caja con 30 cápsulas de 61 mg.</v>
          </cell>
          <cell r="U1260">
            <v>432</v>
          </cell>
          <cell r="V1260">
            <v>1080</v>
          </cell>
        </row>
        <row r="1261">
          <cell r="A1261">
            <v>1258</v>
          </cell>
          <cell r="B1261" t="str">
            <v>010.000.7131.00</v>
          </cell>
          <cell r="E1261" t="str">
            <v>Trastuzumab Pertuzumab. Solución unyectable. Cada ámpula contiene: Pertuzumab 1200 mg. Trastuzumab 600mg. Envase con un frasco ámpula con 15 ml e instructivo anexo.</v>
          </cell>
          <cell r="U1261">
            <v>819</v>
          </cell>
          <cell r="V1261">
            <v>2044</v>
          </cell>
        </row>
        <row r="1262">
          <cell r="A1262">
            <v>1259</v>
          </cell>
          <cell r="B1262" t="str">
            <v>010.000.7132.00</v>
          </cell>
          <cell r="E1262" t="str">
            <v>Trastuzumab Pertuzumab. Solución unyectable. Cada ámpula contien. Pertuzumab 600 mg. Trastuzumab 600mg .Envase con un frasco ámpula con 10 ml e instructivo anexo.</v>
          </cell>
          <cell r="U1262">
            <v>2431</v>
          </cell>
          <cell r="V1262">
            <v>6076</v>
          </cell>
        </row>
        <row r="1263">
          <cell r="A1263">
            <v>1260</v>
          </cell>
          <cell r="B1263" t="str">
            <v>010.000.7133.00</v>
          </cell>
          <cell r="E1263" t="str">
            <v>Vericiguat 2.5 mg Caja con 14 comprimidos</v>
          </cell>
          <cell r="U1263">
            <v>41</v>
          </cell>
          <cell r="V1263">
            <v>102</v>
          </cell>
        </row>
        <row r="1264">
          <cell r="A1264">
            <v>1261</v>
          </cell>
          <cell r="B1264" t="str">
            <v>010.000.7140.00</v>
          </cell>
          <cell r="E1264" t="str">
            <v>BIMEKIZUMAB SOLUCIÓN INYECTABLE CADA PLUMA PRECARGADA CONTIENE BIMEKIZUMAB 160 MG EN 1 ML DE SOLUCIÓN. CAJA CON DOS JERINGAS PRELLENADAS.</v>
          </cell>
          <cell r="U1264">
            <v>73</v>
          </cell>
          <cell r="V1264">
            <v>180</v>
          </cell>
        </row>
        <row r="1265">
          <cell r="A1265">
            <v>1262</v>
          </cell>
          <cell r="B1265" t="str">
            <v>010.000.7145.00</v>
          </cell>
          <cell r="E1265" t="str">
            <v>SOLUCIÓN INYECTABLE CADA FRASCO ÁMPULA CON POLVO LIOFILIZADO CONTIENE: POLATUZUMAB VEDOTINA CAJA CON UN FRASCO ÁMPULA CON 140 MG (20 MG/ML) DE LIOFILIZADO E INSTRUCTIVOS ANEXOS.</v>
          </cell>
          <cell r="U1265">
            <v>18</v>
          </cell>
          <cell r="V1265">
            <v>45</v>
          </cell>
        </row>
        <row r="1266">
          <cell r="A1266">
            <v>1263</v>
          </cell>
          <cell r="B1266" t="str">
            <v>010.000.7156.00</v>
          </cell>
          <cell r="E1266" t="str">
            <v>ANIFROLUMAB SOLUCIÓN INYECTABLE, CADA FRASCO CONTIENE ANIFROLUMAB 300MG/2ML CAJA DE CARTON CON UN FRASCO AMPULA</v>
          </cell>
          <cell r="U1266">
            <v>713</v>
          </cell>
          <cell r="V1266">
            <v>1780</v>
          </cell>
        </row>
        <row r="1267">
          <cell r="A1267">
            <v>1264</v>
          </cell>
          <cell r="B1267" t="str">
            <v>010.000.7193.00</v>
          </cell>
          <cell r="E1267" t="str">
            <v>Zanubrutinib. Cápsula contiene 80 mg. Caja de cartón con frasco con 120 cápsulas</v>
          </cell>
          <cell r="U1267">
            <v>64</v>
          </cell>
          <cell r="V1267">
            <v>160</v>
          </cell>
        </row>
        <row r="1268">
          <cell r="A1268">
            <v>1265</v>
          </cell>
          <cell r="B1268" t="str">
            <v>010.000.8002.00</v>
          </cell>
          <cell r="E1268" t="str">
            <v>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Frasco de plástico con 237 ml para los sabores, vainilla, fresa y chocolate.</v>
          </cell>
          <cell r="U1268">
            <v>2760</v>
          </cell>
          <cell r="V1268">
            <v>6900</v>
          </cell>
        </row>
        <row r="1269">
          <cell r="A1269">
            <v>1266</v>
          </cell>
          <cell r="B1269" t="str">
            <v>010.000.8004.02</v>
          </cell>
          <cell r="E1269" t="str">
            <v>NUTRICIÓN PARENTERAL. Cada 100 g/ml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1540 mL con tres compartimentos (glucosa 19%/ aminoácidos con electrolitos al 11%/ lípidos al 20%).</v>
          </cell>
          <cell r="U1269">
            <v>9</v>
          </cell>
          <cell r="V1269">
            <v>21</v>
          </cell>
        </row>
        <row r="1270">
          <cell r="A1270">
            <v>1267</v>
          </cell>
          <cell r="B1270" t="str">
            <v>010.000.8005.00</v>
          </cell>
          <cell r="E1270" t="str">
            <v>FÓRMULA DE ALIMENTACIÓN ENTERAL ESPECIALIZADA. Solución líquida sabor vainilla. Lata de 237 mL. Ingredientes: Contenido energético 6,40 kJ/ml (1,51 Kcal/ml). Energía 1494KJ, 358 Kcal. Agua 186g /28%. Hidratos de carbono 25,0g. Lípidos 22,1 g /55,5%. Proteínas 14,8g/ 16,5%. Carnitina 36 mg. Taurina 36 mg. Vitaminas: Colina 150 mg. Vitamina C (Ácido ascórbico) 76 mg. Vitamina E (equivalentes de Tocoferoles) 13,4 mg. Niacina 10 mg. Ácido pantoténico 1,0 mg. Vitamina B6 (Piridoxina) 1,0 mg. Vitamina B2 (Riboflavina) 0,85 mg.Vitamina B1 (Tiamina) 0,76 mg. Ácido fólico 199 μg. Vitamina A (eq. de retinol) de los cuales 534 μg. Beta- caroteno (equivalentes de Retinol) 159 μg. Biotina 150 μg. Vitamina K1 20 μg. Vitamina B12 (Cobalamina) 3,1 μg. Vitamina D3 (Colecalciferol) 2,50 μg. Minerales: Sodio 310 mg. Potasio 465 mg. Calcio 249 mg. Cloruro 401 mg. Fósforo 249 mg. Magnesio 100 mg. Zinc 5,7 mg. Hierro 4,5 mg. Manganeso 1,30 mg. Cobre 0,50 μg. Cobre 0.50 μg. Yodo 38 μg. Cromo 31 μg. Molibdeno 38 μg. Selenio 18 μg. Lata de 237 mL.</v>
          </cell>
          <cell r="U1270">
            <v>120</v>
          </cell>
          <cell r="V1270">
            <v>300</v>
          </cell>
        </row>
        <row r="1271">
          <cell r="A1271">
            <v>1268</v>
          </cell>
          <cell r="B1271" t="str">
            <v>010.000.8006.00</v>
          </cell>
          <cell r="E1271" t="str">
            <v>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μg/100ml, 251 μg/237ml. Vitamina A (eq.Retinol) 95 μg/100ml, 225 μg237ml. Biotina 50.6 μg/100ml, 120 μg/237ml. Vitamina K 8.5 μg/100ml, 20 μg/237ml. Vitamina B12 0.95 μg/100ml, 2.3 μg/237ml. Vitamina D3 (Colecalciferol) 0.2 μg/100ml, 0.5 μg/237ml.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μg/100ml, 38 μg/237ml . Cromo 12.5 μg/100ml, 30 μg/237ml. Molibdeno 7.9 μg/100ml, 19 μg/237ml. Selenio 7.4 μg/100ml, 18 μg/237ml. Presentación: Envase con 237 mL.</v>
          </cell>
          <cell r="U1271">
            <v>12569</v>
          </cell>
          <cell r="V1271">
            <v>31420</v>
          </cell>
        </row>
        <row r="1272">
          <cell r="A1272">
            <v>1269</v>
          </cell>
          <cell r="B1272" t="str">
            <v>010.000.8007.00</v>
          </cell>
          <cell r="E1272" t="str">
            <v>Fórmula de alimentación enteral especializada. Solución líquida de 237 ml. Cada 237 ml contienen: fórmula para sabor vainilla. Ingredientes: agua C.S, ml. Maltotrexina 20, 0200 g. sacarosa 11,4700 g granulada. Aceite de canola 6,1400 g. concentrado 6,1100 g. aceite de maíz 2,0400 g. Aislado de proteína de soya 1,2600 g 85%. Aislado de proteína de soya 1,2100 g. Fructooligosacáridos 2,4600 g FOS en polvo. Aceite de triglicéridos de cadena media TCM 0,9100 g. Gel de celulosa 05280 g. Sabor crema 0.5000 g. Sabor N&amp;A tipo algodón de azúcar. 0,3800 g. Goma de celulosa 0.0940 g. Cloruro de potasio 0.3300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Sabor N&amp;A a vainilla francesa 0,1260 g. Ácido ascórbico 0,1220 g. Carbonato de calcio 0,1061 g. Lecitina de soya 0,0942 g. Mono y diglicéridos 0,0942 g. Cloruro de sodio 0,0890 g. Fosfato monobásico de potasio 0,0865 g. Cloruro de colina 0.0848 g. Carragenina 0,0500 g. Ácido docosahexaenoico 0,0268 g. Carragenina 0,0250 g. Sabor natural 0,0350 g. Acetato de dl-alfa tocoferilo 0,0062 g. Palmitato de vitamina A 0,0005 g. Filoquinona 0,0069 mg. Vitamina D3 0,0061 mg. Fosfato dibásico de potasio 0.0153 g. Sulfato ferroso 0,0087 g. L-carnitina 0.0050 g. Yoduro de potasio 0.0319 mg. Cada 237 ml contienen, fórmula para sabor fresa: agua C.S, ml. Maltotrexina 20, 0200 g. sacarosa 11,4400 g granulada. Aceite de canola 6,1400 g. concentrado 6,1100 g. aceite de maíz 2,0400 g. Aislado de proteína de soya 1,2600 g 85%. Aislado de proteína de soya 1,2100 g. Fructooligosacáridos 1,1600 g FOS en polvo. Aceite de triglicéridos de cadena media TCM 0,9100 g. Gel de celulosa 0,5280 g. Goma de celulosa 0,0940 g. Cloruro de potasio 0.3300 g. Sabor fresa N&amp;A 656991, 0,3000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Ácido ascórbico 0,1220 g. Lecitina de soya 0,0942 g. Mono y diglicéridos 0,0942 g. Cloruro de sodio 0,0890 g. Sabor fresa N&amp;A 0,8800 g. Fosfato monobásico de potasio 0,0865 g. Cloruro de colina 0.0848 g. Carbonato de calcio 0,0556 g. Carragenina 0,0500 g. Sabor natural 0,0350 g. Ácido docosahexaenoico 0,0268 g. Carragenina 0,0250 g. Acetato de dl-alfa tocoferilo 0,0062 g. Palmitato de vitamina A 0,0005 g. Filoquinona 0,0069 mg. Vitamina D3 0,0061 mg. Fosfato dibásico de potasio 0.0153 g. Sulfato ferroso 0,0087 g. L-carnitina 0.0050 g. Eritrosina 0,0030 g. Yoduro de potasio 0.0129 mg. Cada 237 ml contienen, fórmula para sabor chocolate: agua C.S, ml. Maltotrexina 19, 2900 g. sacarosa 11,4200 g granulada. Aceite de canola 6,1400 g. Concentrado de proteína de leche 6,0900 g. Cocoa 2,1400. Aceite de maíz 2,0400 g. Aislado de proteína de soya 1,2600 g 85%. Aislado de proteína de soya 1,2100 g. Fructooligosacáridos 1,1600 g FOS en polvo. Aceite de triglicéridos de cadena media TCM 0,9100 g. Gel de celulosa 0,5280 g. Goma de celulosa 0,0940 g. Cloruro de potasio 0.3300 g. Fosfato dibásico de magnesio 0,3000 g. Saborizante de vainilla 0,2500 g. Citrato de potasio 0,1725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1,0259 mg. Cloruro de cromo 0,0468 mg. Molibdato de sodio 0,0129 mg. Selenato de sodio 0,0121mg. Biotina 0,0578 mg. Cianocobalamina 0,0153 mg. Carbonato de calcio 0,1508 g. Fosfato tricálcico 0,1276 g. Sabor N&amp;A tipo algodón de azúcar 0,1260 g. Ácido ascórbico 0,1220 g. Cloruro de sodio 0,0955 g. Lecitina de soya 0,0942 g. Mono y diglicéridos 0,0942 g. Cloruro de colina 0.0848 g. Fosfato monobásico de potasio 0,0480 g. Sabor natural 0,0350 g. Carragenina 0,0300 g. Ácido docosahexaenoico 0,0268 g. Acetato de dl-alfa tocoferilo 0,0062 g. Palmitato de vitamina A 0,0005 g. Filoquinona 0,0694 mg. Vitamina D3 0,0614 mg. Carragenina 0,0150 g. Fosfato dibásico de potasio 0.0111 g. Sulfato ferroso 0,0078 g. L-carnitina 0.0050 g. Yoduro de potasio 0.0319 mg. Solución líquida de 237 ml.</v>
          </cell>
          <cell r="U1272">
            <v>660</v>
          </cell>
          <cell r="V1272">
            <v>1650</v>
          </cell>
        </row>
        <row r="1273">
          <cell r="A1273">
            <v>1270</v>
          </cell>
          <cell r="B1273" t="str">
            <v>020.000.3835.00</v>
          </cell>
          <cell r="E1273" t="str">
            <v>Vitamina A. Solución. Cada dosis contiene: Palmitato de vitamina A (retinol) 200 000 UI. Envase con 25 dosis.</v>
          </cell>
          <cell r="U1273">
            <v>224529</v>
          </cell>
          <cell r="V1273">
            <v>561319</v>
          </cell>
        </row>
        <row r="1274">
          <cell r="A1274">
            <v>1271</v>
          </cell>
          <cell r="B1274" t="str">
            <v>030.000.0003.00</v>
          </cell>
          <cell r="E1274" t="str">
            <v>Sucedaneo De Leche Humana De Pretermino. Polvo Contenido en: Kilocalorías Unidad kcal 100g Mín. 400 Máx 525 100kcal Mín 100.0 Máx 100.0 100ml Mín 64 Máx 85 Lípidos Unidad g 100g Mín. 19.2 Máx 31.5 100kcal Mín4.80 Máx 6.00 100ml Mín 3.072 Máx 5.1 Acido linoleico Unidad mg 100g Mín. 1200 Máx 7350 100kcal Mín300.00 Máx 1400.00 100ml Mín 192 Máx 1190 Ac alfa Linolénico Unidad mg 100g Mín. 200 Máx SE* 100kcal Mín50.00 Máx SE* 100ml Mín 32 Máx SE* Relac A. Linoleico/ A. á Linolenico 100g Mín. 5:1 Máx 15:1 100kcal Mín5:1 Máx 15:1 100ml Mín 5:1 Máx 15:1 Acido araquidónico Unidad % 100g Mín. 1.60 Máx 3.675 100kcal Mín0.40 Máx 0.70 100ml Mín 0.256 Máx 0.595 Acido DHA** Unidad % 100g Mín. 1.40 Máx 2.625 100kcal Mín 0.35 Máx 0.50 100ml Mín 0.224 Máx 0.425 Relac Aa/DHA 100g Mín. 1.5:1 Máx 2:1 100kcal Mín1.5:1 Máx 2:1 100ml Mín 1.5:1 Máx 2:1 Proteínas Unidad g 100g Mín. 9.60 Máx 15.75 100kcal Mín 2.40 Máx 3.00 100ml Mín 1.536 Máx 2.55 Taurina Unidad mg 100g Mín. 20.00 Máx 63 100kcal Mín 5.00 Máx 12.00 100ml Mín 3.2 Máx 10.2 Hidratos de carbono*** Unidad g 100g Mín. 38.80 Máx 73.5 100kcal Mín 9.70 Máx 14.00 100ml Mín 6.208 Máx 11.9 Sodio Unidad mg 100g Mín. 144.00 Máx 315 100kcal Mín36.00 Máx 60.00 100ml Mín 23.04 Máx 51 Potasio Unidad mg 100g Mín. 376.00 Máx 840 100kcal Mín 94.00 Máx 160.00 100ml Mín 60.16 Máx 136 Cloruros Unidad mg 100g Mín. 240.00 Máx 840 100kcal Mín 60.00 Máx 160.00 100ml Mín 38.4 Máx 136 Calcio Unidad mg 100g Mín. 380.00 Máx 735 100kcal Mín 95.00 Máx 140.00 100ml Mín 60.8 Máx 119 Fósforo Unidad mg 100g Mín. 208.00 Máx 525 100kcal Mín 52.00 Máx 100.00 100ml Mín 33.28 Máx 85 Relación Ca/P 100g Mín. 1.7:1 Máx 2:1 100kcal Mín 1.7:1 Máx 2:1 100ml Mín 1.7:1 Máx 2:1 Vitamina A Unidad U.I. 100g Mín. 2800.00 Máx 6583.5 100kcal Min 700.00 Máx 1254.00 100ml Mín 448 Máx 1065.9 Vitamina A ER (Retinol) Unidad µg 100g Mín. 816.00 Máx 1995 100kcal Mín 204.00 Máx 380.00 100ml Mín 130.56 Máx 323 Vitamina D Unidad U.I. 100g Mín. 292.00 Máx 525 100kcal Mín 73.00 Máx 100.00 100ml Mín 46.72 Máx 85 Vitamina E ( Alfa Tocoferol) Unidad U.I. 100g Mín. 12.00 Máx 63 100kcal Mín 3.00 Máx 12.00 100ml Mín 1.92 Máx 10.2 Vitamina K Unidad µg 100g Mín. 32.80 Máx 131.25 100kcal Mín 8.20 Máx 25.00 100ml Mín 5.248 Máx 21.25 Vitamina C Unidad mg 100g Mín. 53.60 Máx 194.25 100kcal Mín 13.40 Máx 37.00 100ml Mín 8.576 Máx 31.45 Vitamina B1 (tiamina) Unidad µg 100g Mín. 240.00 Máx 1312.5 100kcal Mín 60.00 Máx 250.00 100ml Mín 38.4 Máx 212.5 Vitamina B2 (riboflavina) Unidad µg 100g Mín. 560.00 Máx 2625 100kcal Mín 140.00 Máx 500.00 100ml Mín 89.6 Máx 425 Niacina Unidad µg 100g Mín. 4000.00 Máx 7875 100kcal Mín 1000.00 Máx 1500.00 100ml Mín 640 Máx 1275 Vitamina B6 (piridoxina) Unidad µg 100g Mín. 300.00 Máx 918.75 100kcal Mín 75.00 Máx 175.00 100ml Mín 48 Máx 148.75 Acido fólico Unidad µg 100g Mín. 148.00 Máx 262.5 100kcal Mín 37.00 Máx 50.00 100ml Mín 23.68 Máx 42.5 Acido pantoténico Unidad µg 100g Mín. 1800.00 Máx 9975 100kcal Mín 450.00 Máx 1900.00 100ml Mín 288 Máx 1615 Vitamina B12 (cianocobalamina) Unidad µg 100g Mín. 0.80 Máx 7.875 100kcal Mín 0.20 Máx 1.50 100ml Mín 0.128 Máx 1.275 Biotina Unidad µg 100g Mín. 8.80 Máx 52.5 100kcal Mín 2.20 Máx 10.00 100ml Mín 1.408 Máx 8.5 Colina Unidad mg 100g Mín. 30.00 Máx 262.5 100kcal Mín 7.50 Máx 50.00 100ml Mín 4.8 Máx 42.5 Mioinositol Unidad mg 100g Mín. 16.00 Máx 210 100kcal Mín 4.00 Máx 40.00 100ml Mín 2.56 Máx 34 Magnesio Unidad mg 100g Mín. 28.00 Máx 78.75 100kcal Mín 7.00 Máx 15.00 100ml Mín 4.48 Máx 12.75 Hierro Unidad mg 100g Mín. 6.80 Máx 15.75 100kcal Mín 1.70 Máx 3.00 100ml Mín 1.088 Máx 2.55 Yodo Unidad µg 100g Mín. 24.00 Máx 236.25 100kcal Mín 6.00 Máx 45.00 100ml Mín 3.84 Máx 38.25 Cobre Unidad µg 100g Mín. 360.00 Máx 630 100kcal Mín 90.00 Máx 120.00 100ml Mín 57.6 Máx 102 Zinc Unidad mg 100g Mín. 4.40 Máx 7.875 100kcal Mín 1.10 Máx 1.50 100ml Mín 0.704 Máx 1.275 Manganeso Unidad µg 100g Mín. 28.00 Máx 131.25 100kcal Mín 7.00 Máx 25.00 100ml Mín 4.48 Máx 21.25 Selenio Unidad µg 100g Mín. 7.20 Máx 26.25 100kcal Mín 1.80 Máx 5.00 100ml Mín 1.152 Máx 4.25 Nucleótidos Unidad mg 100g Mín. 7.60 Máx 84 100kcal Mín 1.90 Máx 16.00 100ml Mín 1.216 Máx 13.6 Cromo Unidad µg 100g Mín. 6.00 Máx 52.5 100kcal Mín 1.50 Máx 10.00 100ml Mín 0.96 Máx 8.5 Molibdeno Unidad µg 100g Mín. 6.00 Máx 52.5 100kcal Mín 1.50 Máx 10.00 100ml Mín 0.96 Máx 8.5 Dilución 16% Envase con 450 a 454 g y medida de 4.40 a 5.37 g. * Aunque no existe un nivel superior de recomendación siempre deberá conservar la relación de ácido linoleico/ácido linolenico. **DHA: Acido Docosahexanoico. *** La lactosa y polímeros de glucosa deben ser los hidratos de carbono preferidos sólo podrán añadirse almidones naturalmente exentos de gluten precocidos y/o gelatinizados hasta un máximo de 30% del contenido total de hidratos de carbono y hasta un máximo de 2 g/100ml.</v>
          </cell>
          <cell r="U1274">
            <v>86570</v>
          </cell>
          <cell r="V1274">
            <v>216424</v>
          </cell>
        </row>
        <row r="1275">
          <cell r="A1275">
            <v>1272</v>
          </cell>
          <cell r="B1275" t="str">
            <v>030.000.0011.00</v>
          </cell>
          <cell r="E1275" t="str">
            <v>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v>
          </cell>
          <cell r="U1275">
            <v>297963</v>
          </cell>
          <cell r="V1275">
            <v>744905</v>
          </cell>
        </row>
        <row r="1276">
          <cell r="A1276">
            <v>1273</v>
          </cell>
          <cell r="B1276" t="str">
            <v>030.000.0011.01</v>
          </cell>
          <cell r="E1276" t="str">
            <v>FORMULA PARA LACTANTES (SUCEDANEO DE LECHE HUMANA DE TERMINO). POLVO O LIQUIDO.ENERGIA: 100ML 60 KCAL - 70 KCAL, ENERGIA: 100ML 250 KJ - 295 KJ, VITAMINAS:VITAMINA A (EXPRESADOS EN RETINOL): 100KCAL 200 U.I. O 60 MICROGRAMOS - 600U.I. O 180 G, VITAMINA D: 100KCAL 1 MICROGRAMO O 40 U.I.- 2.5 MICROGRAMOS O 100U.I., VITAMINA C (AC. ASCORBICO): 100KCAL 10 MG - S. E. NSR/100 KCAL EN CASO DEPRODUCTOS EN POLVO DEBERIA PROCURARSE CONSEGUIR NSR MAS BAJO 70 MG, VITAMINA BTIAMINA (B1): 100KCAL 60 MICROGRAMOS - S. E. NSR/100 KCAL EN CASO DE PRODUCTOSEN POLVO DEBERIA PROCURARSE CONSEGUIR NSR MAS BAJO 300 MICROGRAMOS, RIBOFLAVINA(B2): 100KCAL 80 MICROGRAMOS - S. E. NSR/100 KCAL EN CASO DE PRODUCTOS EN POLVODEBERIA PROCURARSE CONSEGUIR NSR MAS BAJO 500 MICROGRAMOS, NIACINA (B3):100KCAL 300 MICROGRAMOS - S. E. NSR/100 KCAL EN CASO DE PRODUCTOS EN POLVODEBERIA PROCURARSE CONSEGUIR NSR MAS BAJO 1500 MICROGRAMOS, PIRIDOXINA (B6):100KCAL 35 MICROGRAMOS - S. E. NSR/100 KCAL EN CASO DE PRODUCTOS EN POLVODEBERIA PROCURARSE CONSEGUIR NSR MAS BAJO 175 MICROGRAMOS, ACIDO FOLICO (B9):100KCAL 10 MICROGRAMOS - S. E. NSR/100 KCAL EN CASO DE PRODUCTOS EN POLVODEBERIA PROCURARSE CONSEGUIR NSR MAS BAJO 50 MICROGRAMOS, ACIDO PANTOTENICO(B5): 100KCAL 400 MICROGRAMOS - S. E. NSR/100 KCAL EN CASO DE PRODUCTOS ENPOLVO DEBERIA PROCURARSE CONSEGUIR NSR MAS BAJO 2000 MICROGRAMOS,CIANOCOBALAMINA (B12): 100KCAL 0.1 MICROGRAMOS - S. E. NSR/100 KCAL EN CASO DEPRODUCTOS EN POLVO DEBERIA PROCURARSE CONSEGUIR NSR M AS BAJO 1.5 MICROGRAMOS,BIOTINA (H): 100KCAL 1.5 MICROGRAMOS - S. E. NSR/100 KCAL EN CASO DE PRODUCTOSEN POLVO DEBERIA PROCURARSE CONSEGUIR NSR MAS BAJO 10 MICROGRAMOS, VITAMINA K1:100KCAL 4 MICROGRAMOS - S. E. NSR/100 KCAL EN CASO DE PRODUCTOS EN POLVODEBERIA PROCURARSE CONSEGUIR NSR MAS BAJO 27 MICROGRAMOS, VITAMINA E (ALFATOCOFEROL EQUIVALENTE): 100KCAL 0.5 MG - S. E. NSR/100 KCAL EN CASO DEPRODUCTOS EN POLVO DEBERIA PROCURARSE CONSEGUIR NSR MAS BAJO 5 MG, NUTRIMENTOSINORGANICOS (MINERALES Y ELEMENTOS TRAZA): SODIO (NA): 100KCAL 20 MG - 60 MG,POTASIO (K): 100KCAL 60 MG - 180 MG, CLORO (CL): 100KCAL 50 MG - 160 MG, CALCIO(CA): 100KCAL 50 MG - S. E. NSR/100 KCAL 140 MG, FOSFORO (P): 100KCAL 25 MG -S. E. NSR/100 KCAL 100 MG, LA RELACION CA:P: 100KCAL 1:1 - 2:1, MAGNESIO (MG):100KCAL 5 MG - S. E. NSR/100 KCAL 15 MG, HIERRO (FE): 100KCAL 1 MG - 2 MG, YODO(I): 100KCAL 10 MICROGRAMOS - S. E. NSR/100 KCAL 60 MICROGRAMOS, COBRE (CU):100KCAL 35 MICROGRAMOS - S. E. NSR/100 KCAL 120 MICROGRAMOS, CINC (ZN): 100KCAL0.5 MG - S. E. NSR/100 KCAL 1.5 MG, MANGANESO (MN): 100KCAL 1 MICROGRAMO - S.E. NSR/100 KCAL 100 MICROGRAMOS, SELENIO (SE): 100KCAL 1 MICROGRAMO - S. E.NSR/100 KCAL 9 MICROGRAMOS, COLINA: 100KCAL 14 MG - S. E. NSR/100 KCAL 50 MG,MIOINOSITOL (INOSITOL): 100KCAL 4 MG - S. E. NSR/100 KCAL 40 MG, L?CARNITINA(CARNITINA): 100KCAL 1.2 MG - 2.3 MG, TAURINA: 100KCAL 4.7 MG - 12 MG,NUCLEOTIDOS **): 100KCAL 1.9 MG - 16 MG, FUENTE DE PROTEINA CONTENDRA LOSAMINOACIDOS ESENCIALES **: LECHE DE VACA PROTEINAS TOTALES: 100KCAL 1.8 G - 3.0G, LIPIDOS Y ACIDOS GRASOS: GRASAS: 100KCAL 4.4 G - 6 G, ARA: 100KCAL 7 MG -S.E., DHA: 100KCAL 7 MG - S.E. NSR/100 KCAL (0.5 % DE LOS ACIDOS GRASOS),RELACION ARA:DHA: 100KCAL 1:1 - 2:1, ACIDO LINOLEICO: 100KCAL 300 MG - S. E.NSR/100 KCAL 1400 MG, ACIDO ALFA?LINOLENICO: 100KCAL 50 MG - S. E., HIDRATOS DECARBONO: HIDRATOS DE CARBONO: 100KCAL 9 G - 14 G, DISPOSICIONES GENERALES: LAPROPORCION DE ACIDO LINOLEICO/ALFA?LINOLENICO MINIMO 5:1, MAXIMO 15:1 DE MANERAOPCIONAL, LA FUENTE DE PROTEINA PODRA CONTENER LOS AMINOACIDOS ESENCIALES(VALINA, LEUCINA, ISOLEUCINA, TREONINA, LISINA, METIONINA, FENILALANINA YTRIPTOFANO, Y OTROS, REGULADOS EN LA NORMA OFICIAL MEXICANA NOM?131?SSA1?2012)Y EN CASO DE SER ADICIONADOS SE LISTARAN EN LA FICHA TECNICA. EL CONTENIDO DEACIDOS GRASOS TRANS NO SERAN SUPERIOR AL 3% DEL CONTENIDO TOTAL DE ACIDOSGRASOS EN LAS FORMULAS PARA LACTANTES. EN LAS FORMULAS PARA LACTANTES SOLOPODRAN AÑADIRSE ALMIDONES NATURALMENTE EXENTOS DE GLUTEN PRECOCIDOS Y/OGELATINIZADOS HASTA UN MAXIMO DE 30% DEL CONTENIDO TOTAL DE HIDRATOS DE CARBONOY HASTA UN MAXIMO DE 2 G/100 ML. EN LAS FORMULAS PARA LACTANTES DEBE EVITARSEEL USO DE SACAROSA, ASI COMO LA ADICION DE FRUCTOSA COMO INGREDIENTE, SALVOCUANDO SEA NECESARIO POR JUSTIFICACION TECNOLOGICA. EN LAS FORMULAS PARALACTANTES PODRAN AÑADIRSE OTROS NUTRIMENTOS/INGREDIENTES NORMALMENTE PRESENTESEN LA LECHE MATERNA O HUMANA EN CANTIDAD SUFICIENTE CON LA FINALIDAD DE LOGRAREL EFECTO NUTRIMENTAL O FISIOLOGICO DE ESTA, SOBRE LA BASE DE LAS CANTIDADESPRESENTES EN LA LECHE MATERNA Y PARA ASEGURARSE QUE SEA ADECUADO COMO FUENTEUNICA DE LA NUTRICION DEL LACTANTE. SU IDONEIDAD E INOCUIDAD DEBE ESTARDEMOSTRADA CIENTIFICAMENTE. SE DEBE CONTAR CON EVIDENCIA CIENTIFICA QUEDEMUESTRE LA UTILIDAD DE LOS NUTRIMENTOS/INGREDIENTES OPCIONALES QUE SEUTILICEN Y ESTAR A DISPOSICION DE LA SECRETARIA DE SALUD CUANDO ESTA LOSOLICITE. LAS FORMULAS QUE CONTENGAN MAS DE 1.8 G DE PROTEINAS POR CADA 100KCAL, DEBEN INCREMENTAR EL CONTENIDO DE PIRIDOXINA EN AL MENOS 15 MICROGRAMOSDE PIRIDOXINA POR CADA GRAMO DE PROTEINA ARRIBA DE DICHO VALOR. EN LA FORMULALISTA PARA SER CONSUMIDA DE ACUERDO CON LAS INSTRUCCIONES DESCRITAS EN LAETIQUETA. SI SE AÑADE  ACIDO DOCOSAHEXAENOICO (DHA), EL CONTENIDO DE ACIDOARAQUIDONICO DEBE SER AL MENOS EL MISMO QUE EL DE DHA Y EL CONTENIDO DE ACIDOEICOSAPENTAENOICO (EPA) NO DEBE EXCEDER EL CONTENIDO DE DHA. ** OPCIONAL, S.E.SIN ESPECIFICACION, NSR: NIVEL SUPERIOR DE REFERENCIA. PRESENTACION: ENVASEDESDE 59 ML HASTA 237 ML.</v>
          </cell>
          <cell r="U1276">
            <v>3618</v>
          </cell>
          <cell r="V1276">
            <v>9044</v>
          </cell>
        </row>
        <row r="1277">
          <cell r="A1277">
            <v>1274</v>
          </cell>
          <cell r="B1277" t="str">
            <v>030.000.0012.00</v>
          </cell>
          <cell r="E1277" t="str">
            <v>Sucedaneo de leche humana de término sin lactosa. Polvo. Contenido En Nutrimentos: Kilocalorías 100G Mín. 502.0 Máx. 522.00 100Kcal Mín. 100.00 Máx. 100.00 100Ml Mín. 66.66 Máx. 68.00 Lípidos Unidad g 100G Mín. 25.0 Máx. 28.0 100Kcal Mín. 4.40 Máx. 5.40 3.33 Máx. 3.65 Acido docosa-hexaenoico (DHA) Unidad mg 100Kcal Mín. 9.0 Máx. 22.0,Acido docosa-hexaenoico (DHA) Unidad % 100Kcal Mín. 0.220 Máx. 0.270 Acido araquidónico (ARA) Unidad mg 100Kcal Mín. 9.0 Máx. 22.0 Acido araquidónico (ARA) Unidad % 100Kcal Mín. 0.220 Máx. 0.270 Relación DHA/ARA 100Kcal Mín. 1:1 Máx. 1:1Acido linoléico Unidad g 100Kcal Mín. 0.3 Máx. 1.4 Acido linoléico Unidad % 100Kcal Mín. 0 Máx. 3 Acido alfa linolénico Unidad g 100Kcal Mín. 50 Máx. SE Acido alfa linolénico Unidad % 100Kcal Mín. 0 Máx. 3 Relación Acido linoléico/ Acido alfa linolénico 100Kcal Mín. 5:1 Máx. 15:1 Proteínas Unidad g 100G Mín. 11.0 Máx. 14.0 100Kcal Mín. 2.25 Máx. 3.00 100Ml Mín. 1.45 Máx. 1.86 Taurina Unidad mg 100Kcal Mín. 0 Máx. 12 Hidratos de carbono Unidad g 100G Mín. 54.9 Máx. 55.6 100Kcal Mín. 10.70 Máx. 14.00 100Ml Mín. 7.20 Máx. 7.35 Sodio Unidad mg 100G Mín. 123.0 Máx. 170.0 100Kcal Mín. 24.00 Máx. 34.00 100Ml Mín. 16.00 Máx. 23.00 Potasio Unidad mg 100G Mín. 538.0 Máx. 600.0 100Kcal Mín. 105.00 Máx. 119.00 100Ml Mín. 70.00 Máx. 80.00 Cloruros Unidad mg 100G Mín. 333.0 Máx. 370.0 100Kcal Mín. 65.00 Máx. 160.00 100Ml Mín. 43.33 Máx. 49.00 Calcio Unidad mg 100G Mín. 423.0 Máx. 450.0 100Kcal Mín. 50.00 Máx. 140.00 100Ml Mín. 56.67 Máx. 60.00 Fósforo Unidad mg 100G Mín. 273.0 Máx. 300.0 100Kcal Mín. 25.00 Máx. 100.00 100Ml Mín. 36.00 Máx. 40.00 Relación Calcio/Fósforo 100Kcal Mín. 1:1 Máx. 2:1 L-carnitina Unidad mg 100Kcal Mín. 1.2 Máx. 2.3 Vitamina A 100G Mín. 1500.0 UI Máx. 1923.0 UI 100Kcal Mín. 88.5 µg Máx. 112.5 µg 100Ml Mín. 200.00 UI Máx. 250.00 UI Vitamina D 100G Mín. 300.0 UI Máx. 327.0 UI 100Kcal Mín. 1.48 µg Máx. 2.5 µg 100Ml Mín. 40.00 UI Máx. 43.33 UI Vitamina E 100G Mín. 6.0 UI Máx. 13.7 UI 100Kcal Mín. 1.34 µg Máx. 2.98 µg 100Ml Mín. 0.80 UI Máx. 1.80 UI Vitamina K Unidad µg 100G Mín. 41.0 Máx. 52.0 100Kcal Mín. 8.14 Máx. 25.00 100Ml Mín. 5.50 Máx. 6.67 Vitamina C Unidad mg 100G Mín. 40.0 Máx. 69.0 100Kcal Mín. 10.00 Máx. 30.00 100Ml Mín. 5.30 Máx. 9.00 Vitamina B1 (tiamina) Unidad µg 100G Mín. 300.0 Máx. 769.0 100Kcal Mín. 60.00 Máx. 150.00 100Ml Mín. 40.00 Máx. 100.00 Vitamina B2 (riboflavina) Unidad µg 100G Mín. 345.0 Máx. 1154.0 100Kcal Mín. 67.30 Máx. 140.00 100Ml Mín. 45.00 Máx. 150.00 Niacina Unidad µg 100G Mín. 3800.0 Máx. 5320.0 100Kcal Mín. 750.00 Máx. 1500.00 100Ml Mín. 500.00 Máx. 700.00 Vitamina B6 (piridoxina) Unidad µg 100G Mín. 310.0 Máx. 462.0 100Kcal Mín. 60.40 Máx. 90.00 100Ml Mín. 40.50 Máx. 50.00 Acido fólico Unidad µg 100G Mín. 45.0 Máx. 76.0 100Kcal Mín. 10.00 Máx. 50.00 100Ml Mín. 6.00 Máx. 10.00 Acido pantoténico Unidad µg 100G Mín. 2280.0 Máx. 2308.0 100Kcal Mín. 400.00 Máx. 2000.00 100Ml Mín. 300.00 Máx. 300.00 Vitamina B12 (cianocobalamina) Unidad µg 100G Mín. 1.1 Máx. 1.5 100Kcal Mín. 0.20 Máx. 0.30 100Ml Mín. 0.15 Máx. 0.20 Biotina Unidad µg 100G Mín. 11.0 Máx. 22.8 100Kcal Mín. 2.20 Máx. 7.50 100Ml Mín. 1.50 Máx. 3.00 Colina Unidad mg 100G Mín. 38.0 Máx. 77.0 100Kcal Mín. 7.50 Máx. 50.00 100Ml Mín. 5.00 Máx. 10.00 Inositol Unidad mg 100G Mín. 23.0 Máx. 100.0 100Kcal Mín. 4.50 Máx. 40.00 100Ml Mín. 3.00 Máx. 13.00 Magnesio Unidad mg 100G Mín. 31.1 Máx. 50.0 100Kcal Mín. 6.06 Máx. 10.00 100Ml Mín. 4.10 Máx. 7.00 Hierro Unidad mg 100G Mín. 6.0 Máx. 9.2 100Kcal Mín. 1.20 Máx. 2.00 100Ml Mín. 0.80 Máx. 1.20 Yodo Unidad µg 100G Mín. 25.0 Máx. 77.0 100Kcal Mín. 10.00 Máx. 50.00 100Ml Mín. 3.30 Máx. 10.00 Cobre Unidad µg 100G Mín. 300.0 Máx. 460.0 100Kcal Mín. 60.00 Máx. 89.66 100Ml Mín. 40.00 Máx. 60.00 Zinc Unidad mg 100G Mín. 3.8 Máx. 4.6 100Kcal Mín. 0.70 Máx. 1.50 100Ml Mín. 0.50 Máx. 0.60 Manganeso Unidad µg 100G Mín. 26.0 Máx. 77.0 100Kcal Mín. 5.00 Máx. 15.00 100Ml Mín. 3.40 Máx. 10.00 Selenio Unidad µg 100Kcal Mín. 1.00 Máx. 9.00 Dilución 13.00 - 13.7 % Envase con 400 a 454 g y medida de 4.3 a 4.5 g.</v>
          </cell>
          <cell r="U1277">
            <v>63560</v>
          </cell>
          <cell r="V1277">
            <v>158898</v>
          </cell>
        </row>
        <row r="1278">
          <cell r="A1278">
            <v>1275</v>
          </cell>
          <cell r="B1278" t="str">
            <v>030.000.0013.00</v>
          </cell>
          <cell r="E1278" t="str">
            <v>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357 g hasta 450 g polvo y medida dosificadora.</v>
          </cell>
          <cell r="U1278">
            <v>146592</v>
          </cell>
          <cell r="V1278">
            <v>366476</v>
          </cell>
        </row>
        <row r="1279">
          <cell r="A1279">
            <v>1276</v>
          </cell>
          <cell r="B1279" t="str">
            <v>030.000.0013.01</v>
          </cell>
          <cell r="E1279" t="str">
            <v>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v>
          </cell>
          <cell r="U1279">
            <v>10832</v>
          </cell>
          <cell r="V1279">
            <v>27080</v>
          </cell>
        </row>
        <row r="1280">
          <cell r="A1280">
            <v>1277</v>
          </cell>
          <cell r="B1280" t="str">
            <v>030.000.0014.00</v>
          </cell>
          <cell r="E1280" t="str">
            <v>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a 454 g polvo y medida dosificadora.</v>
          </cell>
          <cell r="U1280">
            <v>384229</v>
          </cell>
          <cell r="V1280">
            <v>960570</v>
          </cell>
        </row>
        <row r="1281">
          <cell r="A1281">
            <v>1278</v>
          </cell>
          <cell r="B1281" t="str">
            <v>030.000.0014.01</v>
          </cell>
          <cell r="E1281" t="str">
            <v>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v>
          </cell>
          <cell r="U1281">
            <v>9806</v>
          </cell>
          <cell r="V1281">
            <v>24514</v>
          </cell>
        </row>
        <row r="1282">
          <cell r="A1282">
            <v>1279</v>
          </cell>
          <cell r="B1282" t="str">
            <v>030.000.0021.00</v>
          </cell>
          <cell r="E1282" t="str">
            <v>Formula De Proteina Aislada De Soya. Polvo Contenido En: Kilocalorías Unidad kcal 100G Mín. 515.0 Máx. 524.00 100Kcal Mín. 60.00 Máx. 70.00 100Ml Mín. 66.67 Máx. 68.00 Lípidos Unidad g 100G Mín. 20.00 Máx. 28.30 100Kcal Mín. 4.40 Máx. 6.00 100Ml Mín. 3.60 Máx. 3.70 Acido docosa-hexaenoico (DHA) Unidad mg 100Kcal Mín. 0.00 Máx. 12.00 Acido docosa-hexaenoico (DHA) Unidad % 100Kcal Mín. 0.22 Máx.  0.30 Acido araquidónico (ARA) Unidad mg 100Kcal Mín. 0.00 Máx. 12.00 Acido araquidónico (ARA) Unidad % 100Kcal Mín. 0.22 Máx. 0.30 Relación DHA/ARA 100Kcal Mín. 1:1 Máx. 1:1 Acido linoléico Unidad g 100Kcal Mín. 0.30 Máx. 1.40 Acido alfa linolénico Unidad g 100Kcal Mín. 50.00 Máx. SE Acido alfa linolénico Unidad % 100Kcal Mín. 0.00 Máx. 3.00 Relación Acido linoléico/ Acido alfa linolénico 100Kcal Mín. 5:1 Máx. 15:1 Proteínas Unidad g 100G Mín. 13.70 Máx. 15.60 100Kcal Mín. 2.64 Máx. 3.00 100Ml Mín. 1.80 Máx. 2.00 Taurina Unidad mg 100G Mín. 0.00 Máx. 36.00 100Kcal Mín. 0.00 Máx. 12.00 100Ml Mín. 0.00 Máx. 4.60 Hidratos de carbono Unidad g 100G Mín. 51.00 Máx. 54.00 100Kcal Mín. 10.00 Máx. 14.00 100Ml Mín. 6.60 Máx. 6.90 Sodio Unidad mg 100G Mín. 140.00 Máx. 243.00 100Kcal Mín. 27.00 Máx. 47.00 100Ml Mín. 18.00 Máx. 32.00 Potasio Unidad mg 100G Mín. 525.00 Máx. 629.00 100Kcal Mín. 100.00 Máx. 120.00 100Ml Mín. 65.00 Máx. 81.12 Cloruros Unidad mg 100G Mín. 315.00 Máx. 449.00 100Kcal Mín. 60.00 Máx. 86.90 100Ml Mín. 40.00 Máx. 59.00 Calcio Unidad mg 100G Mín. 420.00 Máx. 532.00 100Kcal Mín. 80.00 Máx. 140.00 100Ml Mín. 54.00 Máx. 70.00 Fósforo Unidad mg 100G Mín. 210.00 Máx. 393.00 100Kcal Mín. 40.00 Máx. 75.00 100Ml Mín. 27.00 Máx. 50.70 Relación Calcio/Fósforo 100Kcal Mín. 1:1 Máx. 2:1 L-carnitina Unidad mg 100G Mín. 0.00 Máx. 12.00 100Kcal Mín. 1.20 Máx. 2.30 100Ml Mín. 0.00 Máx. 1.50 Vitamina A 100G Mín. 1572.00 UI Máx. 2000.00 UI 100Kcal Mín. 90.00 µg Máx. 180.00 µg 100Ml Mín. 202.80 UI Máx. 263.00 UI Vitamina D 100G Mín. 304.00 UI Máx. 350.00 UI 100Kcal Mín. 1.50 µg Máx. 2.50 µg 100Ml Mín. 40.00 UI Máx. 44.00 UI Vitamina E 100G Mín. 10.50 UI Máx. 19.40 UI 100Kcal Mín. 2.24 mg Máx. 5.00 mg 100Ml Mín. 1.35 UI Máx. 2.57 UI Vitamina K Unidad µg 100G Mín. 40.00 Máx. 76.00 100Kcal Mín. 8.00 Máx. 25.00 100Ml Mín. 5.00 Máx. 10.00 Vitamina C Unidad mg 100G Mín. 53.00 Máx. 68.00 100Kcal Mín. 10.30 Máx. 30.00 100Ml Mín. 7.00 Máx. 9.00 Vitamina B1 (tiamina) Unidad µg 100G Mín. 300.00 Máx. 758.00 100Kcal Mín. 60.00 Máx. 150.00 100Ml Mín. 40.00 Máx. 100.00 Vitamina B2 (riboflavina) Unidad µg 100G Mín. 456.00 Máx. 1136.00 100Kcal Mín. 80.00 Máx. 225.00 100Ml Mín. 60.00 Máx. 150.00 Niacina Unidad µg 100G Mín. 3000.00 Máx. 5300.00 100Kcal Mín. 600.00 Máx. 1500.00 100Ml Mín. 400.00 Máx. 700.00 Vitamina B6 (piridoxina) Unidad µg 100G Mín.300.00 Máx. 455.00 100Kcal Mín. 58.80 Máx. 90.00 100Ml Mín. 40.00 Máx. 60.00 Acido fólico Unidad µg 100G Mín. 61.00 Máx. 100.00 100Kcal Mín. 12.00 Máx. 50.00 100Ml Mín. 8.00 Máx. 13.20 Acido pantoténico Unidad µg 100G Mín. 2000.00 Máx. 3800.00 100Kcal Mín. 400.00 Máx. 750.00 100Ml Mín. 300.00 Máx. 500.00 Vitamina B12 (cianocobalamina) Unidad µg 100G Mín. 1.50 Máx. 2.30 100Kcal Mín. 0.10 Máx. 0.50 100Ml Mín. 0.20 Máx. 0.30 Biotina Unidad µg 100G Mín. 12.00 Máx. 27.00 100Kcal Mín. 1.50 Máx. 7.50 100Ml Mín. 1.50 Máx. 3.50 Colina Unidad mg 100G Mín. 55.00 Máx. 63.00 100Kcal Mín. 10.00 Máx. 50.00 100Ml Mín. 7.00 Máx. 8.50 Inositol Unidad mg 100G Mín. 25.80 Máx. 89.00 100Kcal Mín.5.00 Máx. 40.00 100Ml Mín. 3.40 Máx. 11.50 Magnesio Unidad mg 100G Mín. 40.00 Máx. 58.00 100Kcal Mín. 7.50 Máx. 15.00 100Ml Mín. 5.00 Máx. 7.44 Hierro Unidad mg 100G Mín. 6.30 Máx. 9.40 100Kcal Mín. 1.20 Máx. 2.00 100Ml Mín. 0.80 Máx. 1.20 Yodo Unidad µg 100G Mín. 76.00 Máx. 105.00 100Kcal Mín. 14.70 Máx. 50.00 100Ml Mín. 10.00 Máx. 13.00 Cobre Unidad µg 100G Mín. 315.00 Máx. 424.00 100Kcal Mín. 60.00 Máx. 84.00 100Ml Mín. 40.00 Máx. 56.00 Zinc Unidad mg 100G Mín. 4.50 Máx. 6.00 100Kcal Mín. 0.90 Máx. 1.20 100Ml Mín. 0.49 Máx. 0.81 Manganeso Unidad µg 100G Mín. 131.00 Máx. 304.00 100Kcal Mín. 5.00 Máx. 50.00 100Ml Mín. 16.90 Máx. 40.00 Selenio Unidad µg 100Kcal Mín. 1.00 Máx. 9.00 Dilución 13.00 - 13.70 % Envase de lata con 400 a 454 g y medida de 4.30 a 4.50 g.</v>
          </cell>
          <cell r="U1282">
            <v>58422</v>
          </cell>
          <cell r="V1282">
            <v>146054</v>
          </cell>
        </row>
        <row r="1283">
          <cell r="A1283">
            <v>1280</v>
          </cell>
          <cell r="B1283" t="str">
            <v>030.000.5234.01</v>
          </cell>
          <cell r="E1283" t="str">
            <v>D-BIOTINA. CAPSULAS. CADA CAPSULA CONTIENE: D-BIOTINA 5 MG. ENVASE CON 60CAPSULAS.</v>
          </cell>
          <cell r="U1283">
            <v>4604</v>
          </cell>
          <cell r="V1283">
            <v>11509</v>
          </cell>
        </row>
        <row r="1284">
          <cell r="A1284">
            <v>1281</v>
          </cell>
          <cell r="B1284" t="str">
            <v>030.000.5235.00</v>
          </cell>
          <cell r="E1284" t="str">
            <v>DIETA ENTERAL HIPERPROTÉICA E HIPERCALÓRICA CON FIBRA. SUSPENSIÓN. Cada 100 ml contiene: Energía 150/628 kcal/kj. Grasas Totales 7.04 g. Ácidos Grasos Saturados 1.24 g. Ácidos Grasos Monoinsaturados 4.23 g. Oleico 4.14 g. Ácidos Grasos Poliinsaturados 1.57 g. ω6 (α-linoleico) 1.095 g. ω3 (α-linolénico) 0.17 g. Ácido eicosapentaenoico (EPA) 46.2 mg. Ácido docosahexaenoico (DHA) 28.8 mg. ω3 (EPA + DHA) 0.075 g. Hidratos de Carbono Totales 13.5 g. Azúcares 3.5 g. Isomaltulosa 2.66 g. Fibra alimentaria 1.5 g. FOS Soluble 1.05 g. Fibra de avena (insoluble) 0.45 g. Proteínas 7.5 g. Histidina 0.17 g. Isoleucina 0.425 g. Leucina 0.715 g. Lisina 0.64 g. Metionina 0.19 g. Cisteína 0.115 g. Fenilalanina 0.305 g. Tirosina 0.32 g. Treonina 0.41 g. Triprófano 0.12 g. Valina 0.35 g. Prolina 0.615 g. Alanina 0.295 g. Serina 0.39 g. Glicina 0.135 g. Arginina 0.235 g. Ácido Aspártico 0.645 g. Ácido Glutámico 1.425 g. Sal 0.23 g. Vitamina A 150 μg-RE. Vitamina D 1.3 μg. Vitamina K 9.75 μg. Vitamina C 20 mg. Vitamina B1 0.19 mg. Vitamina B2 0.22 mg. Vitamina B6 0.25 mg. Niacina-PP 2.4 mg-NE. Ácido Fólico 45 μg. Vitamina B12 0.6 μg. Ácido Pantoténico 0.73 mg. Biotina 4.2 μg. Vitamina E 3.0 mg-αTE. Betacaroteno 40.0 μg-RE. Sodio 90 mg. Cloruro 120 mg. Potasio 130 mg. Calcio 130 mg. Fósforo 95 mg. Magnesio 25 mg. Hierro 1.3 mg. Zinc 2.0 mg. Cobre 120 μg. Yodo 16.0 μg. Selenio 8.5 μg. Manganeso 0.28 mg. Cromo 7.5 μg. Molibdeno 12 μg. Fluoruro 0.22 mg. Colina 42 mg. L-Carnitina 75 mg. Envase de cartón con 200 mL. Sabores: Vainilla, Capuchino o Chocolate.</v>
          </cell>
          <cell r="U1284">
            <v>130464</v>
          </cell>
          <cell r="V1284">
            <v>326160</v>
          </cell>
        </row>
        <row r="1285">
          <cell r="A1285">
            <v>1282</v>
          </cell>
          <cell r="B1285" t="str">
            <v>030.000.5242.00</v>
          </cell>
          <cell r="E1285" t="str">
            <v>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v>
          </cell>
          <cell r="U1285">
            <v>20359</v>
          </cell>
          <cell r="V1285">
            <v>50895</v>
          </cell>
        </row>
        <row r="1286">
          <cell r="A1286">
            <v>1283</v>
          </cell>
          <cell r="B1286" t="str">
            <v>030.000.5394.00</v>
          </cell>
          <cell r="E1286" t="str">
            <v>Fórmula para lactantes con necesidades especiales de nutrición con proteína extensamente hidrolizada y triglicéridos de cadena media. Polvo o Líquido. Energía Mínimo /100 mL 60 kcal, Máximo /100 mL 85 kcal; Energía Mínimo /100 mL 250 kJ, Máximo /100 mL 355kJ; Vitaminas. Vitamina A Mínimo/100 kcal 200 U.I. o 60 µg expresados en retinol, Máximo/100 kcal 600 U.I. o 180 µg expresados en retinol, NSR/100 kcal. En el caso de productos en polvo debería procurarse conseguir NSR más bajos. -; Vitamina D Mínimo/100 kcal 1 µg o 40 U.I., Máximo/100 kcal 2,5 µg o 100 U.I., NSR/100 kcal. En el caso de productos en polvo debería procurarse conseguir NSR más bajos. -; Vitamina C (Ác. ascórbico) Mínimo/100 kcal 10 mg, Máximo/100 kcal S. E., NSR/100 kcal. En el caso de productos en polvo debería procurarse conseguir NSR más bajos. 70 mg; Tiamina (B1) Mínimo/100 kcal 60 µg, Máximo/100 kcal S. E., NSR/100 kcal. En el caso de productos en polvo debería procurarse conseguir NSR más bajos. 300 µg; Riboflavina (B2) Mínimo/100 kcal 80 µg, Máximo/100 kcal S. E., NSR/100 kcal. En el caso de productos en polvo debería procurarse conseguir NSR más bajos. 500 µg; Niacina (B3) Mínimo/100 kcal 300 µg, Máximo/100 kcal S. E., NSR/100 kcal. En el caso de productos en polvo debería procurarse conseguir NSR más bajos. 1 500 µg; Piridoxina (B6) Mínimo/100 kcal 35 µg, Máximo/100 kcal S. E., NSR/100 kcal. En el caso de productos en polvo debería procurarse conseguir NSR más bajos. 175 µg; Ácido fólico (B9) Mínimo/100 kcal 10 µg, Máximo/100 kcal S. E., NSR/100 kcal. En el caso de productos en polvo debería procurarse conseguir NSR más bajos. 50 µg; Ácido pantoténico (B5) Mínimo/100 kcal 400 µg, Máximo/100 kcal S. E., NSR/100 kcal. En el caso de productos en polvo debería procurarse conseguir NSR más bajos. 2 000 µg; Cianocobalamina (B12) Mínimo/100 kcal 0,1 µg, Máximo/100 kcal S. E., NSR/100 kcal. En el caso de productos en polvo debería procurarse conseguir NSR más bajos. 1,5 µg; Biotina (H) Mínimo/100 kcal 1,5 µg, Máximo/100 kcal S. E., NSR/100 kcal. En el caso de productos en polvo debería procurarse conseguir NSR más bajos. 10 µg; Vitamina K1 Mínimo/100 kcal 4 µg, Máximo/100 kcal S. E., NSR/100 kcal. En el caso de productos en polvo debería procurarse conseguir NSR más bajos. 27 µg; Vitamina E (alfa tocoferol equivalente) Mínimo/100 kcal 0,5 mg, Máximo/100 kcal S. E., NSR/100 kcal. En el caso de productos en polvo debería procurarse conseguir NSR más bajos.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7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9 µg; Cromo (Cr) ** Mínimo/100 kcal 1,5 µg, Máximo/100 kcal S.E., NSR/100 kcal 10 µg; Molibdeno (Mo) ** Mínimo/100 kcal 1,5 µg, Máximo/100 kcal S.E., NSR/100 kcal 10 µg; Nucleótidos ** Mínimo/100 kcal 1,9 mg, Máximo/100 kcal 16 mg, NSR/100 kcal -; Fuente de proteína (se debe indicar el origen del hidrolizado de proteína). Proteína hidrolizada de caseína o suero: Péptidos 85% o más con menos de 1 500 Daltons Mínimo/100 kcal 2,25 g, Máximo/100 kcal 3,0 g, NSR/100 kcal -; Lípidos y ácidos grasos. Grasas Mínimo/100 kcal 4,4 g, Máximo/100 kcal 6 g, NSR/100 kcal -; Ácido linoleico Mínimo/100 kcal 300 mg, Máximo/100 kcal S.E., NSR/100 kcal 1 400 mg; Ácido alfa-linolénico Mínimo/100 kcal 50 mg, Máximo/100 kcal S.E., NSR/100 kcal -; Relación ácido linoleico/ácido alfa linolénico Mínimo/100 kcal 5:1, Máximo/100 kcal 15:1, NSR/100 kcal -; ARA Mínimo/100 kcal 7 mg, Máximo/100 kcal S.E., NSR/100 kcal -; DHA Mínimo/100 kcal 7 mg, Máximo/100 kcal S.E., NSR/100 kcal 0,5% de los ácidos grasos; Relación ARA:DHA Mínimo/100 kcal 1:1, Máximo/100 kcal 2:1, NSR/100 kcal -; Triglicéridos de Cadena Media Mínimo/100 kcal 30% de los ácidos grasos totales, Máximo/100 kcal 65% de los ácidos grasos totales,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Esta información deberá expresarse en la ficha técnica.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Las instituciones podrán solicitar que se especifique el origen del hidrolizado de proteína y en caso de ser mixto la relación de la misma, lo cual será expresado en la ficha técnica. ** Opcional. S.E. Sin Especificación NSR: Nivel Superior de Referencia. Envase desde 400 g hasta 454 g polvo y medida dosificadora.</v>
          </cell>
          <cell r="U1286">
            <v>28204</v>
          </cell>
          <cell r="V1286">
            <v>70509</v>
          </cell>
        </row>
        <row r="1287">
          <cell r="A1287">
            <v>1284</v>
          </cell>
          <cell r="B1287" t="str">
            <v>030.000.5396.00</v>
          </cell>
          <cell r="E1287" t="str">
            <v>PROTEINA AISLADA DE LACTOSUERO. POLVO. Contenido en 100 g y en 10 g: Energía 371 kcal o 1,552 kj y 37.1 kcal o 155 kj. Grasas Totales 1.00 g y 0.10 g. Ácidos Grasos Saturados 0.20 g y 0.02 g. Hidratos de Carbono 0.40 g y 0.04 g. Azúcares 0.40 g y 0.04 g. Proteínas 90.0 g y 9 g. Histidina 1.58 g y 0.16 g. Isoleucina 5.95 g y 0.60 g. Leucina 9.09 g y 0.91 g. Lisina 8.65 g y 0.87 g. Metionina 2.01 g y 0.20 g. Cisteína 16.7 g y 0.17 g. Fenilalanina 2.95 g y 0.30 g. Tirosina 1.73 g y 0.17 g. Treonina 6.58 g y 0.66 g. Valina 5.27 g y 0.53 g. Prolina 4.45 g y 0.45 g. Alanina 4.33 g y 0.43 g. Serina 2.63 g y 0.26 g. Glicina 5.65 g y 0.57 g. Arginina 10.2 y 1.02 g. Ácido Aspártico 1.95 g y 0.20 g. Ácido Glutámico 1.51 g y 0.15 g. Sal 0.63 g y 0.06 g. Sodio 250 mg y 25.0 mg. Fósforo 250 mg y 25.0 mg. Potasio 27.0 mg y 2.70 mg. Calcio 516 mg y 51.6 mg. Hierro 0.31 mg y 0.03 mg. Zinc 0.12 mg y 0.01 mg. Bote que contiene 400 g. de polvo.</v>
          </cell>
          <cell r="U1287">
            <v>7488</v>
          </cell>
          <cell r="V1287">
            <v>18718</v>
          </cell>
        </row>
        <row r="1288">
          <cell r="A1288">
            <v>1285</v>
          </cell>
          <cell r="B1288" t="str">
            <v>030.000.5398.00</v>
          </cell>
          <cell r="E1288" t="str">
            <v>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v>
          </cell>
          <cell r="U1288">
            <v>51293</v>
          </cell>
          <cell r="V1288">
            <v>128232</v>
          </cell>
        </row>
        <row r="1289">
          <cell r="A1289">
            <v>1286</v>
          </cell>
          <cell r="B1289" t="str">
            <v>030.000.5951.00</v>
          </cell>
          <cell r="E1289" t="str">
            <v>FORMULA DE PROTEINA HIDROLIZADA DE ARROZ ETAPA 2. POLVO. CONTENIDO EN: ENERGIA*POR 100 KCAL 100 KCAL. POR 100 G DE POLVO 484 KCAL, PROTEINAS POR 100 KCAL 3,1G. POR 100 G DE POLVO 15,0 G, HIDRATOS DE CARBONO POR 100 KCAL 11,7 G. POR 100G DE POLVO 56,5 G, LIPIDOS POR 100 KCAL 4,5 G. POR 100 G DE POLVO 22,0 G,NUCLEOTIDOS POR 100 KCAL 4,3 MG. POR 100 G DE POLVO 20,3 MG, AZUCARES POR 100KCAL 0,0 G. POR 100 G DE POLVO 0,0 G, MALTODEXTRINA POR 100 KCAL 9,2 G. POR 100G DE POLVO 44,5 G, ALMIDON PRECOCIDO DE MAIZ POR 100 KCAL 2,5 G. POR 100 G DEPOLVO 12,0 G, LACTOSA POR 100 KCAL 0,0 G. POR 100 G DE POLVO 0,0 G, GRASASATURADA POR 100 KCAL 2,4 G. POR 100 G DE POLVO 11,4 G, ACIDOS GRASOS TRANS POR100 KCAL 0,0 MG. POR 100 G DE POLVO 0,0 MG, ACIDOS GRASOS MONOINSATURADOS POR100 KCAL 1,4 G. POR 100 G DE POLVO 7,0 G, ACIDOS GRASOS POLIINSATURADOS POR 100KCAL 0,7 G. POR 100 G DE POLVO 3,6 G, COLESTEROL POR 100 KCAL 0,0 MG. POR 100 GDE POLVO 0,0 MG, TRIGLICERIDOS DE CADENA MEDIA POR 100 KCAL 1,0 G. POR 100 G DEPOLVO 4,8 G, ACIDO LINOLEICO POR 100 KCAL 600 MG. POR 100 G DE POLVO 2904 MG,ACIDO ?- LINOLENICO POR 100 KCAL 52,3 MG. POR 100 G DE POLVO 253 MG, FIBRADIETETICA POR 100 KCAL 0,0 G. POR 100 G DE POLVO 0,0 G, MINERALES POR 100 KCAL700,0 MG. POR 100 G DE POLVO 3500 MG, COLINA POR 100 KCAL 10,3 MG. POR 100 G DEPOLVO 50 MG, TAURINA POR 100 KCAL 6,9 MG. POR 100 G DE POLVO 35 MG, MIOINOSITOLPOR 100 KCAL 5,2 MG. POR 100 G DE POLVO 25 MG, L. CARNITINA POR 100 KCAL 2,1MG. POR 100 G DE POLVO 10 MG, SODIO (NA) POR 100 KCAL 57 MG. POR 100 G DE POLVO275 MG, POTASIO (K) POR 100 KCAL 128 MG. POR 100 G DE POLVO 620 MG, CLORO (CL)POR 100 KCAL 103 MG. POR 100 G DE POLVO 500 MG, CALCIO (CA) POR 100 KCAL 103MG. POR 100 G DE POLVO 500 MG, FOSFORO (P) POR 100 KCAL 68,2 MG. POR 100 G DEPOLVO 330 MG, MAGNESIO (MG) POR 100 KCAL 10,3 MG. POR 100 G DE POLVO 50 MG,HIERRO (FE) POR 100 KCAL 1,5 MG. POR 100 G DE POLVO 7,5 MG, ZINC (ZN) POR 100KCAL 0,83 MG. POR 100 G DE POLVO 4,0 MG, COBRE (CU) POR 100 KCAL 68MICROGRAMOS. POR 100 G DE POLVO 330 MICROGRAMOS, MANGANESO (MN) POR 100 KCAL31,0 MICROGRAMOS. POR 100 G DE POLVO 150 MICROGRAMOS, YODO (I) POR 100 KCAL20,7 MICROGRAMOS. POR 100 G DE POLVO 100 MICROGRAMOS, SELENIO (SE) POR 100 KCAL2,1 MICROGRAMOS. POR 100 G DE POLVO 10 MICROGRAMOS, RELACION CALCIO/FOSFORO POR100 KCAL 1,5:1 N/A. POR 100 G DE POLVO 1,5:1 N/A, VITAMINA A (EXPRESADO ENRETINOL) POR 100 KCAL 93 MICROGRAMOS. POR 100 G DE POLVO 450,0 MICROGRAMOS,VITAMINA D POR 100 KCAL 1,5 MICROGRAMOS. POR 100 G DE POLVO 7,5 MICROGRAMOS,VITAMINA E (ALFA TOCOFEROL) POR 100 KCAL 2,1 MG. POR 100 G DE POLVO 10,0 MG,VITAMINA K1 POR 100 KCAL 8,7 MICROGRAMOS. POR 100 G DE POLVO 42,0 MICROGRAMOS,VITAMINA B1 POR 100 KCAL 107,4 MICROGRAMOS. POR 100 G DE POLVO 520 MICROGRAMOS,RIBOFLAVINA B2 POR 100 KCAL 128 MICROGRAMOS. POR 100 G DE POLVO 620MICROGRAMOS, PIRIDOXINA B6 POR 100 KCAL 86,8 MICROGRAMOS. POR 100 G DE POLVO420 MICROGRAMOS, CIANOCOBALAMINA B12 POR 100 KCAL 0,2 MICROGRAMOS. POR 100 G DEPOLVO 1,0 MICROGRAMOS, VITAMINA C (ACIDO ASCORBICO) POR 100 KCAL 14,5 MG. POR100 G DE POLVO 70 MG, ACIDO FOLICO (B9) POR 100 KCAL 12,4 MICROGRAMOS. POR 100G DE POLVO 60 MICROGRAMOS, ACIDO PANTOTENICO (B5) POR 100 KCAL 661 MICROGRAMOS.POR 100 G DE POLVO 3200 MICROGRAMOS, NIACINA (B3) POR 100 KCAL 1033MICROGRAMOS. POR 100 G DE POLVO 5000 MICROGRAMOS, BIOTINA (H) POR 100 KCAL 2,5MICROGRAMOS. POR 100 G DE POLVO 12,0 MICROGRAMOS, 5'MONOFOSFATO DE CITIDINA POR100 KCAL 1,6 MG. POR 100 G DE POLVO 7,7 MG, 5'MONOFOSFATO DE URIDINA POR 100KCAL 1,3 MG. POR 100 G DE POLVO 6,2 MG, 5'MONOFOSFATO DE ADENOSINA POR 100 KCAL0,6 MG. POR 100 G DE POLVO 2,8 MG, 5'MONOFOSFATO DE GUANOSINA POR 100 KCAL 0,4MG. POR 100 G DE POLVO 1,8 MG, 5'MONOFOSFATO DE INOSINA POR 100 KCAL 0,4 MG.POR 100 G DE POLVO 1,8 MG. *100 MILILITROS DE PRODUCTO APORTAN 68 KCAL.  ENVASEDE LATA CON 400 G Y MEDIDA DOSIFICADORA DE 4.7 G.</v>
          </cell>
          <cell r="U1289">
            <v>3312</v>
          </cell>
          <cell r="V1289">
            <v>8278</v>
          </cell>
        </row>
        <row r="1290">
          <cell r="A1290">
            <v>1287</v>
          </cell>
          <cell r="B1290" t="str">
            <v>030.000.5952.00</v>
          </cell>
          <cell r="E1290" t="str">
            <v>Fórmula de proteína hidrolizada de arroz etapa 1, Polvo, Energía* unidad kcal, Por 100 Kcal 100, Por 100 g de polvo 504; Proteínas unidad g, Por 100 Kcal 2,4, Por 100 g de polvo 12,0; Hidratos de carbono unidad g, Por 100 Kcal 11,3, Por 100 g de polvo 56,7; Lípidos unidad g, Por 100 Kcal 5,0, Por 100 g de polvo 25,5; Nucleótidos unidad mg, Por 100 Kcal 4,3, Por 100 g de polvo 21,6; Azúcares unidad g, Por 100 Kcal 0,0, Por 100 g de polvo 0,0; Maltodextrina unidad g, Por 100 Kcal 8,9, Por 100 g de polvo 44,7; Almidón precocido de maíz unidad g, Por 100 Kcal 2,4, Por 100 g de polvo 12,0; Lactosa unidad g, Por 100 Kcal 0,0, Por 100 g de polvo 0,0; Grasa saturada unidad g, Por 100 Kcal 2,6, Por 100 g de polvo 13,3; Ácidos grasos trans unidad mg, Por 100 Kcal 0,0, Por 100 g de polvo 0,0; Ácidos grasos monoinsaturados unidad g, Por 100 Kcal 1,6, Por 100 g de polvo 8,1; Ácidos grasos poliinsaturados unidad g, Por 100 Kcal 0,8, Por 100 g de polvo 4,1; Colesterol unidad mg, Por 100 Kcal 0,0, Por 100 g de polvo 0,0; Triglicéridos de cadena media unidad g, Por 100 Kcal 1,1, Por 100 g de polvo 5,4; Ácido linoléico unidad mg, Por 100 Kcal 652,4, Por 100 g de polvo 3 290; Ácido α-linolénico unidad mg, Por 100 Kcal 55,7, Por 100 g de polvo 281; Fibra dietética unidad g, Por 100 Kcal 0,0, Por 100 g de polvo 0,0; Minerales unidad mg, Por 100 Kcal 500, Por 100 g de polvo 2 500; Colina unidad mg, Por 100 Kcal 9,9, Por 100 g de polvo 50; Taurina unidad mg, Por 100 Kcal 6,9, Por 100 g de polvo 35; Mioinositol unidad mg, Por 100 Kcal 5,0, Por 100 g de polvo 25; L. carnitina unidad mg, Por 100 Kcal 2,0, Por 100 g de polvo 10; Sodio (Na) unidad mg, Por 100 Kcal 45, Por 100 g de polvo 225; Potasio (K) unidad mg, Por 100 Kcal 89, Por 100 g de polvo 450; Cloro (Cl) unidad mg, Por 100 Kcal 65, Por 100 g de polvo 330; Calcio (Ca) unidad mg, Por 100 Kcal 89, Por 100 g de polvo 450; Fósforo (P) unidad mg, Por 100 Kcal 50, Por 100 g de polvo 250; Magnesio (Mg) unidad mg, Por 100 Kcal 8,9, Por 100 g de polvo 45; Hierro (Fe) unidad mg, Por 100 Kcal 1,0, Por 100 g de polvo 5,0; Zinc (Zn) unidad mg, Por 100 Kcal 0,79, Por 100 g de polvo 4,0; Cobre (Cu) unidad µg, Por 100 Kcal 63, Por 100 g de polvo 320; Manganeso (Mn) unidad µg, Por 100 Kcal 29,7, Por 100 g de polvo 150; Yodo (I) unidad µg, Por 100 Kcal 19,8, Por 100 g de polvo 100; Selenio (Se) unidad µg, Por 100 Kcal 2,0, Por 100 g de polvo 10,0; Relación Calcio/Fósforo unidad N/A, Por 100 Kcal 1,8:1, Por 100 g de polvo 1,8:1; Vitamina A (expresado en retinol) unidad µg, Por 100 Kcal 89, Por 100 g de polvo 450; Vitamina D unidad µg, Por 100 Kcal 1,5, Por 100 g de polvo 7,5; Vitamina E (alfa tocoferol) unidad mg, Por 100 Kcal 2,0, Por 100 g de polvo 10,0; Vitamina K1 unidad µg, Por 100 Kcal 7,9, Por 100 g de polvo 40; Vitamina B1 unidad µg, Por 100 Kcal 99,1, Por 100 g de polvo 500; Riboflavina B2 unidad µg, Por 100 Kcal 119, Por 100 g de polvo 600; Piridoxina B6 unidad µg, Por 100 Kcal 79,3, Por 100 g de polvo 400; Cianocobalamina B12 unidad µg, Por 100 Kcal 0,2, Por 100 g de polvo 1,0; Vitamina C (ácido ascórbico) unidad mg, Por 100 Kcal 13,9, Por 100 g de polvo 70; Ácido fólico (B9) unidad µg, Por 100 Kcal 11,9, Por 100 g de polvo 60; Ácido Pantoténico (B5) unidad µg, Por 100 Kcal 635, Por 100 g de polvo 3 200; Niacina (B3) unidad µg, Por 100 Kcal 991, Por 100 g de polvo 5 000; Biotina (H) unidad µg, Por 100 Kcal 2,4, Por 100 g de polvo 12; 5’monofosfato de citidina unidad mg, Por 100 Kcal 1,6, Por 100 g de polvo 8,1; 5’monofosfato de uridina unidad mg, Por 100 Kcal 1,3, Por 100 g de polvo 6,5; 5’monofosfato de adenosina unidad mg, Por 100 Kcal 0,6, Por 100 g de polvo 3,0; 5’monofosfato de guanosina unidad mg, Por 100 Kcal 0,4, Por 100 g de polvo 2,0; 5’monofosfato de inosina unidad mg, Por 100 Kcal 0,4, Por 100 g de polvo 2,0; *100 mililitros de producto aportan 68 Kcal. Envase de lata con 400 g y medida dosificadora de 4.5 g.</v>
          </cell>
          <cell r="U1290">
            <v>3670</v>
          </cell>
          <cell r="V1290">
            <v>9173</v>
          </cell>
        </row>
        <row r="1291">
          <cell r="A1291">
            <v>1288</v>
          </cell>
          <cell r="B1291" t="str">
            <v>030.000.6128.00</v>
          </cell>
          <cell r="E1291" t="str">
            <v>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1000 ml con tres compartimientos (200 ml para lípidos 400 ml para aminoácidos con electrolitos 400 ml para glucosa con calcio).</v>
          </cell>
          <cell r="U1291">
            <v>6008</v>
          </cell>
          <cell r="V1291">
            <v>15020</v>
          </cell>
        </row>
        <row r="1292">
          <cell r="A1292">
            <v>1289</v>
          </cell>
          <cell r="B1292" t="str">
            <v>030.000.6128.01</v>
          </cell>
          <cell r="E1292" t="str">
            <v>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1500 ml con tres compartimientos (300 ml para lípidos 600 ml para aminoácidos con electrolitos 600 ml para glucosa con calcio).</v>
          </cell>
          <cell r="U1292">
            <v>3580</v>
          </cell>
          <cell r="V1292">
            <v>8946</v>
          </cell>
        </row>
        <row r="1293">
          <cell r="A1293">
            <v>1290</v>
          </cell>
          <cell r="B1293" t="str">
            <v>030.000.6501.00</v>
          </cell>
          <cell r="E1293" t="str">
            <v>FÓRMULA PARA LACTANTES CON NECESIDADES ESPECIALES DE NUTRICIÓN DE 22 KCAL/OZ FL. POLVO. VITAMINAS: VITAMINA A (EXPRESADOS EN RETINOL). MÍNIMO/100 KCAL: 119 UI O 35.7 MG MÁXIMO/100 KCAL: 600 U.I. O 180 MG. NSR/100 KCAL EN CASO DE PRODUCTOS EN POLVO DEBERÍA PROCURARSE CONSEGUIR NSR MÁS BAJO. VITAMINA D. MÍNIMO/100 KCAL: S.E. MÁXIMO/100 KCAL: 8.75 MG O 350 U.I. VITAMINA C (AC. ASCÓRBICO). MÍNIMO/100 KCAL: 8.3 MG MÁXIMO/100 KCAL: 50 MG. TIAMINA (B1) MÍNIMO/100 KCAL: 30 MG MÁXIMO/100 KCAL: 275 MG. RIBOFLAVINA (B2) MÍNIMO/100 KCAL: 80 MG MÁXIMO/100 KCAL: 620 MG. NIACINA (B3) MÍNIMO/100 KCAL: 340 MG MÁXIMO/100 KCAL: 5 000 MG. PIRIDOXINA (B6) MÍNIMO/100 KCAL: 30 MG MÁXIMO/100 KCAL: 273 MG. ÁCIDO FÓLICO (B9) MÍNIMO/100 KCAL: 12 MG MÁXIMO/100 KCAL: 91 MG. ÁCIDO PANTOTÉNICO (B5) MÍNIMO/100 KCAL: 300 MG MÁXIMO/100 KCAL: 1 900 MG. CIANOCOBALAMINA (B12) MÍNIMO/100 KCAL: 0.08 MG MÁXIMO/100 KCAL: 0.73 µG. BIOTINA (H) MÍNIMO/100 KCAL: 1 µG MÁXIMO/100 KCAL: 37 µG. VITAMINA K1 MÍNIMO/100 KCAL: 4 µG MÁXIMO/100 KCAL: 25 µG. VITAMINA E (ALFA TOCOFEROL EQUIVALENTE) MÍNIMO/100 KCAL: 0.9 MG MÁXIMO/100 KCAL: 10 MG. NUTRIMENTOS INORGÁNICOS (MINERALES Y ELEMENTOS TRAZA): SODIO (NA) MÍNIMO/100 KCAL: 20 MG MÁXIMO/100 KCAL: 60 MG. POTASIO (K) MÍNIMO/100 KCAL: 52 MG MÁXIMO/100 KCAL:177 MG. CLORO (CL) MÍNIMO/100 KCAL: 60 MG MÁXIMO/100 KCAL: 226 MG. CALCIO (CA) MÍNIMO/100 KCAL: 64 MG MÁXIMO/100 KCAL: 200 MG. FÓSFORO (P) MÍNIMO/100 KCAL: 35 MG MÁXIMO/100 KCAL: 127 MG. LA RELACIÓN CA:P MÍNIMO/100 KCAL: 1:1 MÁXIMO/100 KCAL: 2:1. MAGNESIO (MG) MÍNIMO/100 KCAL: 5.3 MG MÁXIMO/100 KCAL: 17 MG. HIERRO (FE) MÍNIMO/100 KCAL: 0.45 MG MÁXIMO/100 KCAL: S.E. YODO (I) MÍNIMO/100 KCAL: 6 MG MÁXIMO/100 KCAL: 54.5 MG. COBRE (CU) MÍNIMO/100 KCAL: 78 MG MÁXIMO/100 KCAL: 250 MG. CINC (ZN) MÍNIMO/100 KCAL: 0.34 MG MÁXIMO/100 KCAL:2.73 MG. MANGANESO (MN) MÍNIMO/100 KCAL: 1 MG MÁXIMO/100 KCAL: S.E. SELENIO (SE) MÍNIMO/100 KCAL: 0.9 MG MÁXIMO/100 KCAL: 9 MG. COLINA** MÍNIMO/100 KCAL: 7 MG MÁXIMO/100 KCAL: S.E. MIOINOSITOL (INOSITOL)** MÍNIMO/100 KCAL: 4 MG MÁXIMO/100 KCAL: S.E. L-CARNITINA (CARNITINA)** MÍNIMO/100 KCAL: 1.2 MG MÁXIMO/100 KCAL: S.E. TAURINA** MÍNIMO/100 KCAL: S.E. MÁXIMO/100 KCAL: 12 MG. NUCLEÓTIDOS **) MÍNIMO/100 KCAL: 1.9 MG MÁXIMO/100 KCAL: 16 MG- CROMO (CR)** MÍNIMO/100 KCAL: 1.5 MG MÁXIMO/100 KCAL: S.E. MOLIBDENO (MO)** MÍNIMO/100 KCAL: 1.5 MG MÁXIMO/100 KCAL: S.E. FUENTE DE PROTEÍNA CONTENDRÁ LOS AMINOÁCIDOS ESENCIALES ** LECHE DE VACA MÍNIMO/100 KCAL: 1.8 G MÁXIMO/100 KCAL: 3.8 G. PARCIALMENTE HIDROLIZADA MÍNIMO/100 KCAL: 2.25 G MÁXIMO/100 KCAL: 3 G. LÍPIDOS Y ÁCIDOS GRASOS. LÍPIDOS: MÍNIMO/100 KCAL 4.4 G MÁXIMO/100 KCAL: 6 G ÁCIDO ARAQUIDÓNICO (ARA)**: MÍNIMO/100 KCAL: S.E. MÁXIMO/100 KCAL: S.E. ÁCIDO DECOSAEXAENÓICO (DHA)** MÍNIMO/100 KCAL: S.E. MÁXIMO/100 KCAL: S.E. RELACIÓN ARA : DHA MÍNIMO/100 KCAL: - MÁXIMO/100 KCAL: -. ÁCIDO LINOLEICO MÍNIMO/100 KCAL: 0.35 G MÁXIMO/100 KCAL 1.4 G. ÁCIDO ALFA -LINOLÉNICO MÍNIMO/100 KCAL: 0.05 G MÁXIMO/100 KCAL S.E. HIDRATOS DE CARBONO. HIDRATOS DE CARBONO MÍNIMO/100 KCAL: 9 G MÁXIMO/100 KCAL: 14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363 G HASTA 900 G POLVO Y MEDIDA DOSIFICADORA.</v>
          </cell>
          <cell r="U1293">
            <v>1206</v>
          </cell>
          <cell r="V1293">
            <v>3013</v>
          </cell>
        </row>
        <row r="1294">
          <cell r="A1294">
            <v>1291</v>
          </cell>
          <cell r="B1294" t="str">
            <v>030.000.6502.00</v>
          </cell>
          <cell r="E1294" t="str">
            <v>FÓRMULA PARA LACTANTES CON NECESIDADES ESPECIALES DE NUTRICIÓN DE 24 KCAL/OZ FL, POLVO O LÍQUIDO. VITAMINAS: VITAMINA A (EXPRESADOS EN RETINOL) MÍNIMO/100 KCAL S.E., MÁXIMO/100 KCAL3 333 U.I. O 1 000 µG, NSR/100 KCAL - ; VITAMINA D MÍNIMO/100 KCAL S.E., MÁXIMO/100 KCAL9,1 µG O 364 U.I., NSR/100 KCAL - ; VITAMINA C (ÁC. ASCÓRBICO) MÍNIMO/100 KCAL 8,3 MG, MÁXIMO/100 KCAL50 MG, NSR/100 KCAL - ; TIAMINA (B1) MÍNIMO/100 KCAL 30 µG, MÁXIMO/100 KCAL275 µG, NSR/100 KCAL - ; RIBOFLAVINA (B2) MÍNIMO/100 KCAL 80 µG, MÁXIMO/100 KCAL620 µG, NSR/100 KCAL - ; NIACINA (B3) MÍNIMO/100 KCAL 340 µG, MÁXIMO/100 KCAL5 000 µG, NSR/100 KCAL - ; PIRIDOXINA (B6) MÍNIMO/100 KCAL 30 µG, MÁXIMO/100 KCAL273 µG, NSR/100 KCAL - ; ÁCIDO FÓLICO (B9) MÍNIMO/100 KCAL 17 µG, MÁXIMO/100 KCAL91 µG, NSR/100 KCAL - ; ÁCIDO PANTOTÉNICO (B5) MÍNIMO/100 KCAL 300 µG, MÁXIMO/100 KCAL1 900 µG, NSR/100 KCAL - ; CIANOCOBALAMINA (B12) MÍNIMO/100 KCAL 0,08 µG, MÁXIMO/100 KCAL0,73 µG, NSR/100 KCAL - ; VITAMINA K1 MÍNIMO/100 KCAL 4 µG, 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 CASO DE PRODUCTOS EN POLVO DEBERÍA PROCURARSE CONSEGUIR NSR MÁS BAJO. ENVASE DESDE 400 G POLVO Y MEDIDA DOSIFICADORA.</v>
          </cell>
          <cell r="U1294">
            <v>2555</v>
          </cell>
          <cell r="V1294">
            <v>6386</v>
          </cell>
        </row>
        <row r="1295">
          <cell r="A1295">
            <v>1292</v>
          </cell>
          <cell r="B1295" t="str">
            <v>030.000.6502.01</v>
          </cell>
          <cell r="E1295" t="str">
            <v>FÓRMULA PARA LACTANTES CON NECESIDADES ESPECIALES DE NUTRICIÓN DE 24 KCAL/OZ FL, POLVO O LÍQUIDO. VITAMINAS: VITAMINA A (EXPRESADOS EN RETINOL) MÍNIMO/100 KCAL S.E., MÁXIMO/100 KCAL3 333 U.I. O 1 000 µG, NSR/100 KCAL - ; VITAMINA D MÍNIMO/100 KCAL S.E., MÁXIMO/100 KCAL9,1 µG O 364 U.I., NSR/100 KCAL - ; VITAMINA C (ÁC. ASCÓRBICO) MÍNIMO/100 KCAL 8,3 MG, MÁXIMO/100 KCAL50 MG, NSR/100 KCAL - ; TIAMINA (B1) MÍNIMO/100 KCAL 30 µG, MÁXIMO/100 KCAL275 µG, NSR/100 KCAL - ; RIBOFLAVINA (B2) MÍNIMO/100 KCAL 80 µG, MÁXIMO/100 KCAL620 µG, NSR/100 KCAL - ; NIACINA (B3) MÍNIMO/100 KCAL 340 µG, MÁXIMO/100 KCAL5 000 µG, NSR/100 KCAL - ; PIRIDOXINA (B6) MÍNIMO/100 KCAL 30 µG, MÁXIMO/100 KCAL273 µG, NSR/100 KCAL - ; ÁCIDO FÓLICO (B9) MÍNIMO/100 KCAL 17 µG, MÁXIMO/100 KCAL91 µG, NSR/100 KCAL - ; ÁCIDO PANTOTÉNICO (B5) MÍNIMO/100 KCAL 300 µG, MÁXIMO/100 KCAL1 900 µG, NSR/100 KCAL - ; CIANOCOBALAMINA (B12) MÍNIMO/100 KCAL 0,08 µG, MÁXIMO/100 KCAL0,73 µG, NSR/100 KCAL - ; VITAMINA K1 MÍNIMO/100 KCAL 4 µG, 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 CASO DE PRODUCTOS EN POLVO DEBERÍA PROCURARSE CONSEGUIR NSR MÁS BAJO. ENVASE DESDE 400 G POLVO Y MEDIDA DOSIFICADORA.</v>
          </cell>
          <cell r="U1295">
            <v>2368</v>
          </cell>
          <cell r="V1295">
            <v>5916</v>
          </cell>
        </row>
        <row r="1296">
          <cell r="A1296">
            <v>1293</v>
          </cell>
          <cell r="B1296" t="str">
            <v>030.000.6503.00</v>
          </cell>
          <cell r="E1296" t="str">
            <v>Fórmula para lactantes con necesidades especiales de nutrición de 24 Kcal/oz fl. Alto en proteína. Líquido. Vitaminas. Vitamina A (expresados en retinol). S.E. 3 333 U.I. o 1 000 µg - Vitamina D S.E. 9,1 µg o 364 U.I.- Vitamina C (Ac. ascórbico) 8,3 mg 50 - Tiamina (B1) 30 mg 275 mg - Riboflavina (B2) 80 mg 620 mg - Niacina (B3) 340 mg 5 000 mg - Piridoxina (B6) 30 mg 273 mg - Ácido fólico (B9) 17 mg 91 mg - Ácido pantoténico (B5) 300 mg 1 900 mg -. Cianocobalamina (B12) 0,08 mg 0,73 mg - Biotina (H) 1 mg 37 mg - Vitamina K1 4 mg 25 mg - Vitamina E (alfa tocoferol equivalente) 0,9 mg 10 mg -. Nutrimentos inorgánicos (minerales y elementos traza). Sodio (Na) 39 mg 105 mg - Potasio (K) 52 mg 177 mg - Cloro (Cl) 60 mg 226 mg - Calcio (Ca) 67 mg 200 mg - Fósforo (P) 40 mg 127 mg - La relación Ca:P 1:1 2:1 - Magnesio (Mg) 5,3 mg 17 mg - Hierro (Fe) 0,9 mg 3,64 mg - Yodo (I) 6 mg 54,5 mg - Cobre (Cu) 80 mg 250 mg - Cinc (Zn) 0,34 mg 2,73 mg - Manganeso (Mn) 0,5 mg 27,4 mg - Selenio (Se) 0,9 mg 9 mg - Cromo (Cr) ** 0,02 mg 5,9 mg - Molibdeno (Mo)** 0,02 mg 5,9 mg - Colina ** 7,3 mg 50 mg - Mioinositol (Inositol)** 4 mg 48 mg - L-carnitina (Carnitina)** 1,2 mg S.E. - Taurina ** S.E 12 mg - Nucleótidos** S.E S.E. Fuente de proteína Contendrá los aminoácidos esenciales ** Proteínas Leche de vaca 3,6 g 4,1 g - Parcialmente hidrolizada 3,6 g 5 g. Lípidos y ácidos grasos. Lípidos 4,4 g 6 g - Ácido Linoleico 0,35 g 1,4 g - Ácido Alfa-Linolenico 0,05 g S.E. - Ácido Araquidónico (ARA) ** 16 mg 35 mg - Ácido docosahexaenoico (DHA)** 9 mg 21 mg - Relación ARA : DHA - - - Hidratos de carbono: Hidratos de Carbono 10 g 12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a 70 mL</v>
          </cell>
          <cell r="U1296">
            <v>8891</v>
          </cell>
          <cell r="V1296">
            <v>22225</v>
          </cell>
        </row>
        <row r="1297">
          <cell r="A1297">
            <v>1294</v>
          </cell>
          <cell r="B1297" t="str">
            <v>030.000.6505.00</v>
          </cell>
          <cell r="E1297" t="str">
            <v>Fórmula para lactantes con necesidades especiales de nutrición de 30 kcal/oz fl Líquido. Vitaminas Vitamina A (expresados en retinol). Mínimo/100 kcal S. E., Máximo/100 kcal 3 333 U.I. o 1 000 µg, NSR/100 kcal En caso de productos en polvo debería procurarse conseguir NSR más bajo - ; Vitamina D Mínimo/100 kcal S. E., Máximo/100 kcal 9,1 µg o 364 U.I., NSR/100 kcal En caso de productos en polvo debería procurarse conseguir NSR más bajo - ; Vitamina C (Ác. ascórbico) Mínimo/100 kcal 8,3 mg, Máximo/100 kcal 50 mg, NSR/100 kcal En caso de productos en polvo debería procurarse conseguir NSR más bajo - ; Vitamina B, Tiamina (B1) Mínimo/100 kcal 30 µg, Máximo/100 kcal 275 µg, NSR/100 kcal En caso de productos en polvo debería procurarse conseguir NSR más bajo - ; Riboflavina (B2) Mínimo/100 kcal 80 µg, Máximo/100 kcal 620 µg, NSR/100 kcal En caso de productos en polvo debería procurarse conseguir NSR más bajo - ; Niacina (B3) Mínimo/100 kcal 340 µg, Máximo/100 kcal 5 000 µg, NSR/100 kcal En caso de productos en polvo debería procurarse conseguir NSR más bajo - ; Piridoxina (B6) Mínimo/100 kcal 30 µg, Máximo/100 kcal 273 µg, NSR/100 kcal En caso de productos en polvo debería procurarse conseguir NSR más bajo - ; Ácido fólico (B9) Mínimo/100 kcal 15 µg, Máximo/100 kcal 91 µg, NSR/100 kcal En caso de productos en polvo debería procurarse conseguir NSR más bajo - ; Ácido pantoténico (B5) Mínimo/100 kcal 300 g, Máximo/100 kcal 1 900 g, NSR/100 kcal En caso de productos en polvo debería procurarse conseguir NSR más bajo - ; Cianocobalamina (B12) Mínimo/100 kcal 0,08 g, Máximo/100 kcal 0,73 g, NSR/100 kcal En caso de productos en polvo debería procurarse conseguir NSR más bajo - ; Biotina (H) Mínimo/100 kcal 1 g, Máximo/100 kcal 37 g, NSR/100 kcal En caso de productos en polvo debería procurarse conseguir NSR más bajo - ; Vitamina K1 Mínimo/100 kcal 4 g, Máximo/100 kcal 25 g, NSR/100 kcal En caso de productos en polvo debería procurarse conseguir NSR más bajo - ; Vitamina E (alfa tocoferol equivalente) Mínimo/100 kcal 0,9 mg, Máximo/100 kcal 10 mg, NSR/100 kcal En caso de productos en polvo debería procurarse conseguir NSR más bajo - ; Nutrimentos inorgánicos (minerales y elementos traza) Sodio (Na) Mínimo/100 kcal 37 mg, Máximo/100 kcal 105 mg, NSR/100 kcal En caso de productos en polvo debería procurarse conseguir NSR más bajo - ; Potasio (K) Mínimo/100 kcal 52 mg, Máximo/100 kcal 177 mg, NSR/100 kcal En caso de productos en polvo debería procurarse conseguir NSR más bajo - ; Cloro (Cl) Mínimo/100 kcal 56 mg, Máximo/100 kcal 226 mg, NSR/100 kcal En caso de productos en polvo debería procurarse conseguir NSR más bajo - ; Calcio (Ca) Mínimo/100 kcal 67 mg, Máximo/100 kcal 200 mg, NSR/100 kcal En caso de productos en polvo debería procurarse conseguir NSR más bajo - ; Fósforo (P) Mínimo/100 kcal 40 mg, Máximo/100 kcal 127 mg, NSR/100 kcal En caso de productos en polvo debería procurarse conseguir NSR más bajo - ; La relación Ca:P Mínimo/100 kcal 1:1, Máximo/100 kcal 2:1, NSR/100 kcal En caso de productos en polvo debería procurarse conseguir NSR más bajo - ; Magnesio (Mg) Mínimo/100 kcal 5,3 mg, Máximo/100 kcal 17 mg, NSR/100 kcal En caso de productos en polvo debería procurarse conseguir NSR más bajo - ; Hierro (Fe) Mínimo/100 kcal 0,9 mg, Máximo/100 kcal 3,64 mg, NSR/100 kcal En caso de productos en polvo debería procurarse conseguir NSR más bajo - ; Yodo (I) Mínimo/100 kcal 6 µg, Máximo/100 kcal 54,5 µg, NSR/100 kcal En caso de productos en polvo debería procurarse conseguir NSR más bajo - ; Cobre (Cu) Mínimo/100 kcal 61 µg, Máximo/100 kcal 250 µg, NSR/100 kcal En caso de productos en polvo debería procurarse conseguir NSR más bajo - ; Cinc (Zn) Mínimo/100 kcal 0,34 mg, Máximo/100 kcal 2,73 mg, NSR/100 kcal En caso de productos en polvo debería procurarse conseguir NSR más bajo - ; Manganeso (Mn) Mínimo/100 kcal 0,5 µg, Máximo/100 kcal 60 µg, NSR/100 kcal En caso de productos en polvo debería procurarse conseguir NSR más bajo - ; Selenio (Se) Mínimo/100 kcal 0,9 µg, Máximo/100 kcal 9 µg, NSR/100 kcal En caso de productos en polvo debería procurarse conseguir NSR más bajo - ; Cromo (Cr)** Mínimo/100 kcal 0,02 µg, Máximo/100 kcal 5,9 µg, NSR/100 kcal En caso de productos en polvo debería procurarse conseguir NSR más bajo - ; Molibdeno (Mo)** Mínimo/100 kcal 0,2 µg, Máximo/100 kcal 5,9 µg, NSR/100 kcal En caso de productos en polvo debería procurarse conseguir NSR más bajo - ; Colina** Mínimo/100 kcal 7,3 mg, Máximo/100 kcal 50 mg, NSR/100 kcal En caso de productos en polvo debería procurarse conseguir NSR más bajo - ; Mioinositol (Inositol)** Mínimo/100 kcal 4 mg, Máximo/100 kcal 48 mg, NSR/100 kcal En caso de productos en polvo debería procurarse conseguir NSR más bajo - ; L-carnitina (Carnitina)** Mínimo/100 kcal 1,2 mg, Máximo/100 kcal S. E., NSR/100 kcal En caso de productos en polvo debería procurarse conseguir NSR más bajo - ; Taurina** Mínimo/100 kcal S. E., Máximo/100 kcal 12 mg, NSR/100 kcal En caso de productos en polvo debería procurarse conseguir NSR más bajo - ; Nucleótidos** Mínimo/100 kcal S. E., Máximo/100 kcal S. E., NSR/100 kcal En caso de productos en polvo debería procurarse conseguir NSR más bajo - ; Fuente de proteína Contendrá los aminoácidos esenciales ** Leche de vaca Proteínas Totales Mínimo/100 kcal 1,8 g, Máximo/100 kcal 3,8 g, NSR/100 kcal En caso de productos en polvo debería procurarse conseguir NSR más bajo - ; Lípidos y ácidos grasos Grasas Mínimo/100 kcal 4,4 g, Máximo/100 kcal 6 g, NSR/100 kcal En caso de productos en polvo debería procurarse conseguir NSR más bajo - ; Ácido linoleico Mínimo/100 kcal 0,35 g, Máximo/100 kcal 1,4 g, NSR/100 kcal En caso de productos en polvo debería procurarse conseguir NSR más bajo - ; Ácido alfa-linolénico Mínimo/100 kcal 0,05 g, Máximo/100 kcal S. E., NSR/100 kcal En caso de productos en polvo debería procurarse conseguir NSR más bajo - ; Ácido Araquidónico (ARA)** Mínimo/100 kcal 16 mg, Máximo/100 kcal 35 mg, NSR/100 kcal En caso de productos en polvo debería procurarse conseguir NSR más bajo - ; Ácido docosahexaenoico (DHA)** Mínimo/100 kcal 9 mg, Máximo/100 kcal 21 mg, NSR/100 kcal En caso de productos en polvo debería procurarse conseguir NSR más bajo - ; Relación ARA : DHA Mínimo/100 kcal -, Máximo/100 kcal -, NSR/100 kcal En caso de productos en polvo debería procurarse conseguir NSR más bajo - ; Hidratos de carbono Hidratos de carbono Mínimo/100 kcal 10 g, Máximo/100 kcal 12 g, NSR/100 kcal En caso de productos en polvo debería procurarse conseguir NSR más bajo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59 mL.</v>
          </cell>
          <cell r="U1297">
            <v>12660</v>
          </cell>
          <cell r="V1297">
            <v>31648</v>
          </cell>
        </row>
        <row r="1298">
          <cell r="A1298">
            <v>1295</v>
          </cell>
          <cell r="B1298" t="str">
            <v>030.000.6506.00</v>
          </cell>
          <cell r="E1298" t="str">
            <v>FÓRMULA PARA LACTANTES CON NECESIDADES ESPECIALES DE NUTRICIÓN FORTIFICADOR DE LECHE MATERNA O HUMANA. POLVO O LÍQUIDO. VITAMINAS. VITAMINA A (EXPRESADOS EN RETINOL) 3 510 U.I. O 1 053 MG 5 958 U.I. O 1 787,5 MG - VITAMINA D 14.13 MG O 565 U.I. 36.4 MG O 1 456,4 U.I. - VITAMINA C (ÁC. ASCÓRBICO) 45,9 MG 190,3 MG - TIAMINA (B1) 549 MG 1 774,3 MG - RIBOFLAVINA (B2) 783 MG 3 175,7 MG -. NIACINA (B3) 6 210 MG 27 189,8 MG - PIRIDOXINA (B6) 423 MG 1 607,1 MG - ÁCIDO FÓLICO (B9) 92,7 MG 253 MG - ÁCIDO PANTOTÉNICO (B5) 2 790 MG 11 433,4 MG - CIANOCOBALAMINA (B12) 0,468 MG 4873 MG - VITAMINA K1 17,1 MG 63,25 MG - BIOTINA (H) 10,17 MG 198 MG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MG 1 294,7 MG - CINC (ZN) 2,88 MG 7,59 MG - MANGANESO (MN) 26,1 MG 54,89 MG - SELENIO (SE) ** 3,06 MG 13,2 MG - YODO (I)** 52,2 MG 79,8 MG HIERRO (FE)** S.E. 11 MG CROMO (CR)** 4,95 MG 6,05 MG - MOLIBDENO (MO)** 5,22 MG 6,38 MG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50 A 150 SOBRES DESDE 0,9 G HASTA 2,2 G POLVO</v>
          </cell>
          <cell r="U1298">
            <v>838</v>
          </cell>
          <cell r="V1298">
            <v>2092</v>
          </cell>
        </row>
        <row r="1299">
          <cell r="A1299">
            <v>1296</v>
          </cell>
          <cell r="B1299" t="str">
            <v>030.000.6506.01</v>
          </cell>
          <cell r="E1299" t="str">
            <v>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v>
          </cell>
          <cell r="U1299">
            <v>2302</v>
          </cell>
          <cell r="V1299">
            <v>5752</v>
          </cell>
        </row>
        <row r="1300">
          <cell r="A1300">
            <v>1297</v>
          </cell>
          <cell r="B1300" t="str">
            <v>040.000.0107.00</v>
          </cell>
          <cell r="E1300" t="str">
            <v>DEXTROPROPOXIFENO CAPSULA O COMPRIMIDO CADA CAPSULA O COMPRIMIDO CONTIENE:CLORHIDRATO DE DEXTROPROPOXIFENO 65 MG ENVASE CON 20 CAPSULAS O COMPRIMIDOS.</v>
          </cell>
          <cell r="U1300">
            <v>59186</v>
          </cell>
          <cell r="V1300">
            <v>147962</v>
          </cell>
        </row>
        <row r="1301">
          <cell r="A1301">
            <v>1298</v>
          </cell>
          <cell r="B1301" t="str">
            <v>040.000.0132.00</v>
          </cell>
          <cell r="E1301" t="str">
            <v>NALBUFINA SOLUCIÓN INYECTABLE CADA AMPOLLETA CONTIENE: CLORHIDRATO DE NALBUFINA 10 MG ENVASE CON 3 AMPOLLETAS DE 1 ML.</v>
          </cell>
          <cell r="U1301">
            <v>92</v>
          </cell>
          <cell r="V1301">
            <v>230</v>
          </cell>
        </row>
        <row r="1302">
          <cell r="A1302">
            <v>1299</v>
          </cell>
          <cell r="B1302" t="str">
            <v>040.000.0132.01</v>
          </cell>
          <cell r="E1302" t="str">
            <v>Nalbufina solución inyectable cada ampolleta contiene: clorhidrato de nalbufina 10 mg envase con 5 ampolletas de 1 ml.</v>
          </cell>
          <cell r="U1302">
            <v>57014</v>
          </cell>
          <cell r="V1302">
            <v>142534</v>
          </cell>
        </row>
        <row r="1303">
          <cell r="A1303">
            <v>1300</v>
          </cell>
          <cell r="B1303" t="str">
            <v>040.000.0206.01</v>
          </cell>
          <cell r="E1303" t="str">
            <v>Flunitrazepam. Solución Inyectable Cada ampolleta contiene: Flunitrazepam 2 mg. Envase con 5 ampolletas y 5 ampolletas con diluyente</v>
          </cell>
          <cell r="U1303">
            <v>1900</v>
          </cell>
          <cell r="V1303">
            <v>4748</v>
          </cell>
        </row>
        <row r="1304">
          <cell r="A1304">
            <v>1301</v>
          </cell>
          <cell r="B1304" t="str">
            <v>040.000.0242.00</v>
          </cell>
          <cell r="E1304" t="str">
            <v>Fentanilo. Solución Inyectable Cada ampolleta o frasco ámpula contiene: Citrato de fentanilo equivalente a 0.5 mg de fentanilo. Envase con 6 ampolletas o frascos ámpula con 10 ml.</v>
          </cell>
          <cell r="U1304">
            <v>243346</v>
          </cell>
          <cell r="V1304">
            <v>608363</v>
          </cell>
        </row>
        <row r="1305">
          <cell r="A1305">
            <v>1302</v>
          </cell>
          <cell r="B1305" t="str">
            <v>040.000.0409.00</v>
          </cell>
          <cell r="E1305" t="str">
            <v>HIDROXIZINA. Cada gragea o tableta contiene:
  Clorhidrato de hidroxizina 10 mg. Envase con 30 grageas o tabletas.</v>
          </cell>
          <cell r="U1305">
            <v>2001394</v>
          </cell>
          <cell r="V1305">
            <v>5003484</v>
          </cell>
        </row>
        <row r="1306">
          <cell r="A1306">
            <v>1303</v>
          </cell>
          <cell r="B1306" t="str">
            <v>040.000.1544.00</v>
          </cell>
          <cell r="E1306" t="str">
            <v>Ergometrina. Solución Inyectable Cada ampolleta contiene: Maleato de ergometrina 0.2 mg Envase con 50 ampolletas de 1 ml.</v>
          </cell>
          <cell r="U1306">
            <v>24357</v>
          </cell>
          <cell r="V1306">
            <v>60890</v>
          </cell>
        </row>
        <row r="1307">
          <cell r="A1307">
            <v>1304</v>
          </cell>
          <cell r="B1307" t="str">
            <v>040.000.1940.00</v>
          </cell>
          <cell r="E1307" t="str">
            <v>Doxiciclina. Cápsula o Tableta Cada Cápsula o Tableta contiene: Hiclato de doxiciclina equivalente a 100 mg de doxicilina. Envase con 10 Cápsulas o Tabletas.</v>
          </cell>
          <cell r="U1307">
            <v>6</v>
          </cell>
          <cell r="V1307">
            <v>12</v>
          </cell>
        </row>
        <row r="1308">
          <cell r="A1308">
            <v>1305</v>
          </cell>
          <cell r="B1308" t="str">
            <v>040.000.2096.00</v>
          </cell>
          <cell r="E1308" t="str">
            <v>Tramadol-paracetamol. Tableta Cada Tableta contiene: Clorhidrato de Tramadol 37.5 mg Paracetamol 325.0 mg Envase con 20 Tabletas.</v>
          </cell>
          <cell r="U1308">
            <v>6901080</v>
          </cell>
          <cell r="V1308">
            <v>17252696</v>
          </cell>
        </row>
        <row r="1309">
          <cell r="A1309">
            <v>1306</v>
          </cell>
          <cell r="B1309" t="str">
            <v>040.000.2098.00</v>
          </cell>
          <cell r="E1309" t="str">
            <v>Buprenorfina parche cada parche contiene: buprenorfina 20 mg envase con 4 Parches..</v>
          </cell>
          <cell r="U1309">
            <v>104752</v>
          </cell>
          <cell r="V1309">
            <v>261877</v>
          </cell>
        </row>
        <row r="1310">
          <cell r="A1310">
            <v>1307</v>
          </cell>
          <cell r="B1310" t="str">
            <v>040.000.2100.01</v>
          </cell>
          <cell r="E1310" t="str">
            <v>BUPRENORFINA TABLETA SUBLINGUAL. CADA TABLETA SUBLINGUAL CONTIENE: CLORHIDRATO DE BUPRENORFINA EQUIVALENTE A 0.2 MG DE BUPRENORFINA. ENVASE CON 20 TABLETAS.</v>
          </cell>
          <cell r="U1310">
            <v>7290</v>
          </cell>
          <cell r="V1310">
            <v>18224</v>
          </cell>
        </row>
        <row r="1311">
          <cell r="A1311">
            <v>1308</v>
          </cell>
          <cell r="B1311" t="str">
            <v>040.000.2102.00</v>
          </cell>
          <cell r="E1311" t="str">
            <v>MORFINA SOLUCIÓN INYECTABLE CADA AMPOLLETA CONTIENE: SULFATO DE MORFINA PENTAHIDRATADA 50 MG ENVASE CON 1 AMPOLLETA CON 2.0 ML.</v>
          </cell>
          <cell r="U1311">
            <v>9202</v>
          </cell>
          <cell r="V1311">
            <v>23002</v>
          </cell>
        </row>
        <row r="1312">
          <cell r="A1312">
            <v>1309</v>
          </cell>
          <cell r="B1312" t="str">
            <v>040.000.2104.01</v>
          </cell>
          <cell r="E1312" t="str">
            <v>MORFINA TABLETA O CAPSULA DE LIBERACION PROLONGADA CADA TABLETA O CAPSULA DE LIBERACION PROLONGADA CONTIENE: SULFATO DE MORFINA 100 MG ENVASE CON 20 TABLETASO CAPSULAS DE LIBERACION PROLONGADA.</v>
          </cell>
          <cell r="U1312">
            <v>2752</v>
          </cell>
          <cell r="V1312">
            <v>6880</v>
          </cell>
        </row>
        <row r="1313">
          <cell r="A1313">
            <v>1310</v>
          </cell>
          <cell r="B1313" t="str">
            <v>040.000.2105.01</v>
          </cell>
          <cell r="E1313" t="str">
            <v>MORFINA TABLETA O CÁPSULA DE LIBERACIÓN PROLONGADA CADA TABLETA O CÁPSULA DE LIBERACIÓN PROLONGADA CONTIENE: SULFATO DE MORFINA 60 MG ENVASE CON 20 TABLETAS O CÁPSULAS DE LIBERACIÓN PROLONGADA.</v>
          </cell>
          <cell r="U1313">
            <v>6952</v>
          </cell>
          <cell r="V1313">
            <v>17376</v>
          </cell>
        </row>
        <row r="1314">
          <cell r="A1314">
            <v>1311</v>
          </cell>
          <cell r="B1314" t="str">
            <v>040.000.2160.00</v>
          </cell>
          <cell r="E1314" t="str">
            <v>CODEÍNA CON EFEDRINA. TABLETA. CADA TABLETA CONTIENE: CLORHIDRATO DE CODEÍNA 20 MG CLORHIDRATO DE EFEDRINA 10 MG ENVASE CON 20 TABLETAS.</v>
          </cell>
          <cell r="U1314">
            <v>82</v>
          </cell>
          <cell r="V1314">
            <v>203</v>
          </cell>
        </row>
        <row r="1315">
          <cell r="A1315">
            <v>1312</v>
          </cell>
          <cell r="B1315" t="str">
            <v>040.000.2164.00</v>
          </cell>
          <cell r="E1315" t="str">
            <v>Carbamazepina. Tableta. Cada tableta contiene: Carbamazepina 400 mg Envase con 20 Tabletas.</v>
          </cell>
          <cell r="U1315">
            <v>10771</v>
          </cell>
          <cell r="V1315">
            <v>26925</v>
          </cell>
        </row>
        <row r="1316">
          <cell r="A1316">
            <v>1313</v>
          </cell>
          <cell r="B1316" t="str">
            <v>040.000.2609.00</v>
          </cell>
          <cell r="E1316" t="str">
            <v>CARBAMAZEPINASUSPENSIÓN ORAL
  Cada 5 mL contienen:
  Carbamazepina 100 mg.
  Envase con 120 mL y dosificador de 5
  mL.</v>
          </cell>
          <cell r="U1316">
            <v>52929</v>
          </cell>
          <cell r="V1316">
            <v>132320</v>
          </cell>
        </row>
        <row r="1317">
          <cell r="A1317">
            <v>1314</v>
          </cell>
          <cell r="B1317" t="str">
            <v>040.000.2613.00</v>
          </cell>
          <cell r="E1317" t="str">
            <v>Clonazepam. Solución. Cada ml contiene: Clonazepam 2.5 mg Envase con 10 ml y gotero integral.</v>
          </cell>
          <cell r="U1317">
            <v>1489473</v>
          </cell>
          <cell r="V1317">
            <v>3723681</v>
          </cell>
        </row>
        <row r="1318">
          <cell r="A1318">
            <v>1315</v>
          </cell>
          <cell r="B1318" t="str">
            <v>040.000.2619.00</v>
          </cell>
          <cell r="E1318" t="str">
            <v>Fenobarbital. Elíxir Cada 5 ml contienen: Fenobarbital 20 mg Envase con 60 ml y vasito dosificador de 5 ml.</v>
          </cell>
          <cell r="U1318">
            <v>7384</v>
          </cell>
          <cell r="V1318">
            <v>18457</v>
          </cell>
        </row>
        <row r="1319">
          <cell r="A1319">
            <v>1316</v>
          </cell>
          <cell r="B1319" t="str">
            <v>040.000.2652.00</v>
          </cell>
          <cell r="E1319" t="str">
            <v>Biperideno. Tableta Cada Tableta contiene: Clorhidrato de biperideno 2 mg Envase con 50 Tabletas.</v>
          </cell>
          <cell r="U1319">
            <v>478261</v>
          </cell>
          <cell r="V1319">
            <v>1195650</v>
          </cell>
        </row>
        <row r="1320">
          <cell r="A1320">
            <v>1317</v>
          </cell>
          <cell r="B1320" t="str">
            <v>040.000.2653.00</v>
          </cell>
          <cell r="E1320" t="str">
            <v>Biperideno. Solución Inyectable Cada ampolleta contiene: Lactato de biperideno 5 mg Envase con 5 ampolletas de 1 ml.</v>
          </cell>
          <cell r="U1320">
            <v>5570</v>
          </cell>
          <cell r="V1320">
            <v>13925</v>
          </cell>
        </row>
        <row r="1321">
          <cell r="A1321">
            <v>1318</v>
          </cell>
          <cell r="B1321" t="str">
            <v>040.000.2657.00</v>
          </cell>
          <cell r="E1321" t="str">
            <v>LEVODOPA Y CARBIDOPA. TABLETA DE LIBERACIÓN PROLONGADA CADA TABLETA CONTIENE: LEVODOPA 200 MG CARBIDOPA HIDRATADA EQUIVALENTE A 50 MG DE CARBIDOPA ANHIDRA ENVASE CON 50 TABLETAS</v>
          </cell>
          <cell r="U1321">
            <v>98</v>
          </cell>
          <cell r="V1321">
            <v>243</v>
          </cell>
        </row>
        <row r="1322">
          <cell r="A1322">
            <v>1319</v>
          </cell>
          <cell r="B1322" t="str">
            <v>040.000.2657.01</v>
          </cell>
          <cell r="E1322" t="str">
            <v>LEVODOPA Y CARBIDOPA. TABLETA DE LIBERACIÓN PROLONGADA CADA TABLETA CONTIENE: LEVODOPA 200 MG CARBIDOPA HIDRATADA EQUIVALENTE A 50 MG DE CARBIDOPA ANHIDRA ENVASE CON 100 TABLETAS</v>
          </cell>
          <cell r="U1322">
            <v>8</v>
          </cell>
          <cell r="V1322">
            <v>18</v>
          </cell>
        </row>
        <row r="1323">
          <cell r="A1323">
            <v>1320</v>
          </cell>
          <cell r="B1323" t="str">
            <v>040.000.3204.00</v>
          </cell>
          <cell r="E1323" t="str">
            <v>Levomepromazina. Tableta Cada Tableta contiene: Maleato de levomepromazina equivalente a 25 mg de levomepromazina Envase con 20 Tabletas.</v>
          </cell>
          <cell r="U1323">
            <v>99374</v>
          </cell>
          <cell r="V1323">
            <v>248435</v>
          </cell>
        </row>
        <row r="1324">
          <cell r="A1324">
            <v>1321</v>
          </cell>
          <cell r="B1324" t="str">
            <v>040.000.3206.00</v>
          </cell>
          <cell r="E1324" t="str">
            <v>TRIAZOLAM. TABLETA CADA TABLETA CONTIENE: TRIAZOLAM 0.125 MG ENVASE CON 20 TABLETAS.</v>
          </cell>
          <cell r="U1324">
            <v>70325</v>
          </cell>
          <cell r="V1324">
            <v>175811</v>
          </cell>
        </row>
        <row r="1325">
          <cell r="A1325">
            <v>1322</v>
          </cell>
          <cell r="B1325" t="str">
            <v>040.000.3215.00</v>
          </cell>
          <cell r="E1325" t="str">
            <v>Diazepam. Tableta. Cada tableta contiene: Diazepam 10 mg Envase con 20 Tabletas.</v>
          </cell>
          <cell r="U1325">
            <v>319838</v>
          </cell>
          <cell r="V1325">
            <v>799593</v>
          </cell>
        </row>
        <row r="1326">
          <cell r="A1326">
            <v>1323</v>
          </cell>
          <cell r="B1326" t="str">
            <v>040.000.3251.00</v>
          </cell>
          <cell r="E1326" t="str">
            <v>Haloperidol. Tableta Cada Tableta contiene: Haloperidol 5 mg Envase con 20 Tabletas.</v>
          </cell>
          <cell r="U1326">
            <v>330970</v>
          </cell>
          <cell r="V1326">
            <v>827423</v>
          </cell>
        </row>
        <row r="1327">
          <cell r="A1327">
            <v>1324</v>
          </cell>
          <cell r="B1327" t="str">
            <v>040.000.3255.00</v>
          </cell>
          <cell r="E1327" t="str">
            <v>Litio. Tableta. Cada tableta contiene: Carbonato de Litio 300 mg. Envase con 50 Tabletas.</v>
          </cell>
          <cell r="U1327">
            <v>59051</v>
          </cell>
          <cell r="V1327">
            <v>147625</v>
          </cell>
        </row>
        <row r="1328">
          <cell r="A1328">
            <v>1325</v>
          </cell>
          <cell r="B1328" t="str">
            <v>040.000.3258.00</v>
          </cell>
          <cell r="E1328" t="str">
            <v>Risperidona. Tableta Cada Tableta contiene: Risperidona 2 mg Envase con 40 Tabletas.</v>
          </cell>
          <cell r="U1328">
            <v>818773</v>
          </cell>
          <cell r="V1328">
            <v>2046930</v>
          </cell>
        </row>
        <row r="1329">
          <cell r="A1329">
            <v>1326</v>
          </cell>
          <cell r="B1329" t="str">
            <v>040.000.3302.00</v>
          </cell>
          <cell r="E1329" t="str">
            <v>IMIPRAMINA. GRAGEA O TABLETA. CADA GRAGEA O TABLETA CONTIENE: CLORHIDRATO DE IMIPRAMINA 25 MG. ENVASE CON 20 GRAGEAS O TABLETAS.</v>
          </cell>
          <cell r="U1329">
            <v>2659394</v>
          </cell>
          <cell r="V1329">
            <v>6648484</v>
          </cell>
        </row>
        <row r="1330">
          <cell r="A1330">
            <v>1327</v>
          </cell>
          <cell r="B1330" t="str">
            <v>040.000.4029.00</v>
          </cell>
          <cell r="E1330" t="str">
            <v>Morfina tableta cada tableta contiene: sulfato de morfina pentahidratado equivalente a 30 mg de sulfato de morfina envase con 20 tabletas.</v>
          </cell>
          <cell r="U1330">
            <v>15478</v>
          </cell>
          <cell r="V1330">
            <v>38693</v>
          </cell>
        </row>
        <row r="1331">
          <cell r="A1331">
            <v>1328</v>
          </cell>
          <cell r="B1331" t="str">
            <v>040.000.4032.00</v>
          </cell>
          <cell r="E1331" t="str">
            <v>Oxicodona tableta de liberación prolongada cada tableta contiene: clorhidrato de oxicodona 20 mg envase con 30 tabletas de liberación prolongada.</v>
          </cell>
          <cell r="U1331">
            <v>6403</v>
          </cell>
          <cell r="V1331">
            <v>16005</v>
          </cell>
        </row>
        <row r="1332">
          <cell r="A1332">
            <v>1329</v>
          </cell>
          <cell r="B1332" t="str">
            <v>040.000.4032.01</v>
          </cell>
          <cell r="E1332" t="str">
            <v>OXICODONA TABLETA DE LIBERACIÓN PROLONGADA CADA TABLETA CONTIENE: CLORHIDRATO DE OXICODONA 20 MG ENVASE CON 100 TABLETAS DE LIBERACIÓN PROLONGADA.</v>
          </cell>
          <cell r="U1332">
            <v>3</v>
          </cell>
          <cell r="V1332">
            <v>5</v>
          </cell>
        </row>
        <row r="1333">
          <cell r="A1333">
            <v>1330</v>
          </cell>
          <cell r="B1333" t="str">
            <v>040.000.4033.00</v>
          </cell>
          <cell r="E1333" t="str">
            <v>Oxicodona tableta de liberación prolongada cada tableta contiene: clorhidrato de oxicodona 10 mg envase con 30 tabletas de liberación prolongada.</v>
          </cell>
          <cell r="U1333">
            <v>6370</v>
          </cell>
          <cell r="V1333">
            <v>15922</v>
          </cell>
        </row>
        <row r="1334">
          <cell r="A1334">
            <v>1331</v>
          </cell>
          <cell r="B1334" t="str">
            <v>040.000.4054.00</v>
          </cell>
          <cell r="E1334" t="str">
            <v>Flumazenil. Solución Inyectable Cada ampolleta contiene: Flumazenil 0.5 mg. Envase con una ampolleta con 5 ml (0.1 mg/ml).</v>
          </cell>
          <cell r="U1334">
            <v>37576</v>
          </cell>
          <cell r="V1334">
            <v>93938</v>
          </cell>
        </row>
        <row r="1335">
          <cell r="A1335">
            <v>1332</v>
          </cell>
          <cell r="B1335" t="str">
            <v>040.000.4057.00</v>
          </cell>
          <cell r="E1335" t="str">
            <v>Midazolam. Solución Inyectable Cada ampolleta contiene: Clorhidrato de midazolam equivalente a 15 mg de midazolam o Midazolam 15 mg Envase con 5 ampolletas con 3 ml.</v>
          </cell>
          <cell r="U1335">
            <v>1133828</v>
          </cell>
          <cell r="V1335">
            <v>2834569</v>
          </cell>
        </row>
        <row r="1336">
          <cell r="A1336">
            <v>1333</v>
          </cell>
          <cell r="B1336" t="str">
            <v>040.000.4060.00</v>
          </cell>
          <cell r="E1336" t="str">
            <v>Midazolam. Solución Inyectable Cada ampolleta contiene Clorhidrato de midazolam equivalente a 50 mg de midazolam o Midazolam 50 mg Envase con 5 ampolletas con 10 ml.</v>
          </cell>
          <cell r="U1336">
            <v>292419</v>
          </cell>
          <cell r="V1336">
            <v>731045</v>
          </cell>
        </row>
        <row r="1337">
          <cell r="A1337">
            <v>1334</v>
          </cell>
          <cell r="B1337" t="str">
            <v>040.000.4129.00</v>
          </cell>
          <cell r="E1337" t="str">
            <v>Isotretinoina. Cápsula Cada Cápsula contiene: Isotretinoína 20 mg Envase con 30 Cápsulas.</v>
          </cell>
          <cell r="U1337">
            <v>50874</v>
          </cell>
          <cell r="V1337">
            <v>127182</v>
          </cell>
        </row>
        <row r="1338">
          <cell r="A1338">
            <v>1335</v>
          </cell>
          <cell r="B1338" t="str">
            <v>040.000.4470.00</v>
          </cell>
          <cell r="E1338" t="str">
            <v>METILFENIDATO. TABLETA DE LIBERACIÓN PROLONGADA CADA TABLETA DE LIBERACIÓN PROLONGADA CONTIENE: CLORHIDRATO DE METILFENIDATO 18 MG ENVASE CON 15 TABLETAS DE LIBERACIÓN PROLONGADA</v>
          </cell>
          <cell r="U1338">
            <v>80</v>
          </cell>
          <cell r="V1338">
            <v>200</v>
          </cell>
        </row>
        <row r="1339">
          <cell r="A1339">
            <v>1336</v>
          </cell>
          <cell r="B1339" t="str">
            <v>040.000.4470.01</v>
          </cell>
          <cell r="E1339" t="str">
            <v>Metilfenidato. Tableta de Liberación Prolongada Cada Tableta de Liberación Prolongada contiene: Clorhidrato de metilfenidato 18 mg Envase con 30 Tabletas de Liberación Prolongada</v>
          </cell>
          <cell r="U1339">
            <v>37066</v>
          </cell>
          <cell r="V1339">
            <v>92663</v>
          </cell>
        </row>
        <row r="1340">
          <cell r="A1340">
            <v>1337</v>
          </cell>
          <cell r="B1340" t="str">
            <v>040.000.4471.01</v>
          </cell>
          <cell r="E1340" t="str">
            <v>Metilfenidato. Tableta de Liberación Prolongada Cada Tableta de Liberación Prolongada contiene: Clorhidrato de Metilfenidato 27 mg Envase con 30 Tabletas de Liberación Prolongada</v>
          </cell>
          <cell r="U1340">
            <v>47284</v>
          </cell>
          <cell r="V1340">
            <v>118209</v>
          </cell>
        </row>
        <row r="1341">
          <cell r="A1341">
            <v>1338</v>
          </cell>
          <cell r="B1341" t="str">
            <v>040.000.4472.00</v>
          </cell>
          <cell r="E1341" t="str">
            <v>METILFENIDATO. TABLETA DE LIBERACIÓN PROLONGADA CADA TABLETA DE LIBERACIÓN PROLONGADA CONTIENE: CLORHIDRATO DE METILFENIDATO 36 MG ENVASE CON 15 TABLETAS DE LIBERACIÓN PROLONGADA</v>
          </cell>
          <cell r="U1341">
            <v>80</v>
          </cell>
          <cell r="V1341">
            <v>200</v>
          </cell>
        </row>
        <row r="1342">
          <cell r="A1342">
            <v>1339</v>
          </cell>
          <cell r="B1342" t="str">
            <v>040.000.4472.01</v>
          </cell>
          <cell r="E1342" t="str">
            <v>Metilfenidato. Tableta de Liberación Prolongada Cada Tableta de Liberación Prolongada contiene: Clorhidrato de metilfenidato 36 mg Envase con 30 Tabletas de Liberación Prolongada</v>
          </cell>
          <cell r="U1342">
            <v>34934</v>
          </cell>
          <cell r="V1342">
            <v>87333</v>
          </cell>
        </row>
        <row r="1343">
          <cell r="A1343">
            <v>1340</v>
          </cell>
          <cell r="B1343" t="str">
            <v>040.000.4481.00</v>
          </cell>
          <cell r="E1343" t="str">
            <v>HALOPERIDOL. SOLUCIÓN INYECTABLE CADA AMPOLLETA CONTIENE: DECANOATO DE HALOPERIDOL EQUIVALENTE A 50 MG DE HALOPERIDOL ENVASE CON 1 AMPOLLETA CON 1 ML</v>
          </cell>
          <cell r="U1343">
            <v>97673</v>
          </cell>
          <cell r="V1343">
            <v>244180</v>
          </cell>
        </row>
        <row r="1344">
          <cell r="A1344">
            <v>1341</v>
          </cell>
          <cell r="B1344" t="str">
            <v>040.000.4482.00</v>
          </cell>
          <cell r="E1344" t="str">
            <v>BROMAZEPAM. COMPRIMIDO CADA COMPRIMIDO CONTIENE: BROMAZEPAM 3 MG ENVASE CON 30 COMPRIMIDOS.</v>
          </cell>
          <cell r="U1344">
            <v>145691</v>
          </cell>
          <cell r="V1344">
            <v>364225</v>
          </cell>
        </row>
        <row r="1345">
          <cell r="A1345">
            <v>1342</v>
          </cell>
          <cell r="B1345" t="str">
            <v>040.000.4484.00</v>
          </cell>
          <cell r="E1345" t="str">
            <v>Sertralina. Cápsula o Tableta Cada Cápsula o Tableta contiene: Clorhidrato de sertralina equivalente a 50 mg de sertralina. Envase con 14 Cápsulas o Tabletas.</v>
          </cell>
          <cell r="U1345">
            <v>6056253</v>
          </cell>
          <cell r="V1345">
            <v>15140632</v>
          </cell>
        </row>
        <row r="1346">
          <cell r="A1346">
            <v>1343</v>
          </cell>
          <cell r="B1346" t="str">
            <v>040.000.4486.01</v>
          </cell>
          <cell r="E1346" t="str">
            <v>Anfebutamona o Bupropion. Tableta o gragea de liberación prolongada. Cada tableta o gragea de liberación prolongada contiene: Anfebutamona o Bupropión 150 mg. Envase con 30 tabletas o grageas de liberación prolongada.</v>
          </cell>
          <cell r="U1346">
            <v>84388</v>
          </cell>
          <cell r="V1346">
            <v>210968</v>
          </cell>
        </row>
        <row r="1347">
          <cell r="A1347">
            <v>1344</v>
          </cell>
          <cell r="B1347" t="str">
            <v>040.000.5351.00</v>
          </cell>
          <cell r="E1347" t="str">
            <v>Metilfenidato. Comprimido Cada Comprimido contiene: Clorhidrato de metilfenidato 10 mg Envase con 30 Comprimidos.</v>
          </cell>
          <cell r="U1347">
            <v>761955</v>
          </cell>
          <cell r="V1347">
            <v>1904884</v>
          </cell>
        </row>
        <row r="1348">
          <cell r="A1348">
            <v>1345</v>
          </cell>
          <cell r="B1348" t="str">
            <v>040.000.5478.00</v>
          </cell>
          <cell r="E1348" t="str">
            <v>Lorazepam. Tableta Cada Tableta contiene: Lorazepam 1 mg Envase con 40 Tabletas</v>
          </cell>
          <cell r="U1348">
            <v>162645</v>
          </cell>
          <cell r="V1348">
            <v>406609</v>
          </cell>
        </row>
        <row r="1349">
          <cell r="A1349">
            <v>1346</v>
          </cell>
          <cell r="B1349" t="str">
            <v>040.000.5712.00</v>
          </cell>
          <cell r="E1349" t="str">
            <v>Paliperidona. Suspensión Inyectable de Liberación Prolongada Cada jeringa prellenada contiene: Palmitato de paliperidona equivalente a 75 mg de paliperidona Envase con una microjeringa con 0.75 ml (75 mg).</v>
          </cell>
          <cell r="U1349">
            <v>3719</v>
          </cell>
          <cell r="V1349">
            <v>9296</v>
          </cell>
        </row>
        <row r="1350">
          <cell r="A1350">
            <v>1347</v>
          </cell>
          <cell r="B1350" t="str">
            <v>040.000.5915.00</v>
          </cell>
          <cell r="E1350" t="str">
            <v>Tapentadol. Tableta de liberación prolongada. Cada tableta de liberación prolongada contiene: Clorhidrato de tapentadol equivalente a 50 mg de tapentadol. Envase con 30 tabletas de liberación prolongada.</v>
          </cell>
          <cell r="U1350">
            <v>25832</v>
          </cell>
          <cell r="V1350">
            <v>64576</v>
          </cell>
        </row>
        <row r="1351">
          <cell r="A1351">
            <v>1348</v>
          </cell>
          <cell r="B1351" t="str">
            <v>040.000.6140.00</v>
          </cell>
          <cell r="E1351" t="str">
            <v>Tramadol TABLETA DE LIBERACIÓN PROLONGADA Cada tableta de liberación prolongada contiene: Clorhidrato de Tramadol 150 mg Envase con 10 tabletas de liberación prolongada.</v>
          </cell>
          <cell r="U1351">
            <v>140606</v>
          </cell>
          <cell r="V1351">
            <v>351514</v>
          </cell>
        </row>
        <row r="1352">
          <cell r="A1352">
            <v>1349</v>
          </cell>
          <cell r="B1352" t="str">
            <v>040.000.6140.01</v>
          </cell>
          <cell r="E1352" t="str">
            <v>Tramadol TABLETA DE LIBERACIÓN PROLONGADA Cada tableta de liberación prolongada contiene: Clorhidrato de Tramadol 150 mg Envase con 30 tabletas de liberación prolongada.</v>
          </cell>
          <cell r="U1352">
            <v>40915</v>
          </cell>
          <cell r="V1352">
            <v>102286</v>
          </cell>
        </row>
        <row r="1353">
          <cell r="A1353">
            <v>1350</v>
          </cell>
          <cell r="B1353" t="str">
            <v>040.000.6141.00</v>
          </cell>
          <cell r="E1353" t="str">
            <v>Tramadol TABLETA DE LIBERACIÓN PROLONGADA Cada tableta de liberación prolongada contiene: Clorhidrato de Tramadol 200 mg Envase con 10 tabletas de liberación prolongada.</v>
          </cell>
          <cell r="U1353">
            <v>12535</v>
          </cell>
          <cell r="V1353">
            <v>31337</v>
          </cell>
        </row>
        <row r="1354">
          <cell r="A1354">
            <v>1351</v>
          </cell>
          <cell r="B1354" t="str">
            <v>040.000.6141.01</v>
          </cell>
          <cell r="E1354" t="str">
            <v>Tramadol TABLETA DE LIBERACIÓN PROLONGADA Cada tableta de liberación prolongada contiene: Clorhidrato de Tramadol 200 mg Envase con 30 tabletas de liberación prolongada.</v>
          </cell>
          <cell r="U1354">
            <v>18486</v>
          </cell>
          <cell r="V1354">
            <v>46213</v>
          </cell>
        </row>
        <row r="1355">
          <cell r="A1355">
            <v>1352</v>
          </cell>
          <cell r="B1355" t="str">
            <v>040.000.6189.00</v>
          </cell>
          <cell r="E1355" t="str">
            <v>FENTANILO. TABLETA BUCAL EFERVESCENTE. BUCAL CADA TABLETA CONTIENE CITRATO DE FENTANILO 0.314 MG EQUIVALENTE A 0.200 MG FENTANILO. ENVASE CON 28 TABLETAS</v>
          </cell>
          <cell r="U1355">
            <v>80</v>
          </cell>
          <cell r="V1355">
            <v>200</v>
          </cell>
        </row>
        <row r="1356">
          <cell r="A1356">
            <v>1353</v>
          </cell>
          <cell r="B1356" t="str">
            <v>040.000.6190.00</v>
          </cell>
          <cell r="E1356" t="str">
            <v>FENTANILO. TABLETA BUCAL EFERVESCENTE. BUCAL. CADA TABLETA CONTIENE CITRATO DE FENTANILO 0.628 MG EQUIVALENTE A 0.400 MG FENTANILO. ENVASE CON 28 TABLETAS</v>
          </cell>
          <cell r="U1356">
            <v>567</v>
          </cell>
          <cell r="V1356">
            <v>1416</v>
          </cell>
        </row>
        <row r="1357">
          <cell r="A1357">
            <v>1354</v>
          </cell>
          <cell r="B1357" t="str">
            <v>040.000.6194.00</v>
          </cell>
          <cell r="E1357" t="str">
            <v>PALIPERIDONA. SUSPENSIÓN INYECTABLE DE LIBERACIÓN PROLONGADA. CADA JERINGA PRELLENADA CONTIENE: PALMITATO DE PALIPERIDONA EQUIVALENTE A 525 MG DE PALIPERIDONA ENVASE CON UNA JERINGA PRELLENADA CON 2.625 ML.</v>
          </cell>
          <cell r="U1357">
            <v>100</v>
          </cell>
          <cell r="V1357">
            <v>250</v>
          </cell>
        </row>
        <row r="1358">
          <cell r="A1358">
            <v>1355</v>
          </cell>
          <cell r="B1358" t="str">
            <v>040.000.6196.00</v>
          </cell>
          <cell r="E1358" t="str">
            <v>Paliperidona. Suspensión Inyectable de Liberación Prolongada. Cada jeringa prellenada contiene: Palmitato de paliperidona equivalente a 263 mg de paliperidona Envase con una jeringa prellenada con 1.315 mL</v>
          </cell>
          <cell r="U1358">
            <v>58</v>
          </cell>
          <cell r="V1358">
            <v>144</v>
          </cell>
        </row>
        <row r="1359">
          <cell r="A1359">
            <v>1356</v>
          </cell>
          <cell r="B1359" t="str">
            <v>040.000.6296.00</v>
          </cell>
          <cell r="E1359" t="str">
            <v>SULPIRIDA. TABLETAS O CAPSULAS CADA CAPSULA O TABLETA CONTIENE: SULPIRIDA 50 MGENVASE CON 50 TABLETAS.</v>
          </cell>
          <cell r="U1359">
            <v>2464</v>
          </cell>
          <cell r="V1359">
            <v>6158</v>
          </cell>
        </row>
        <row r="1360">
          <cell r="A1360">
            <v>1357</v>
          </cell>
          <cell r="B1360" t="str">
            <v>040.000.6297.00</v>
          </cell>
          <cell r="E1360" t="str">
            <v>SULPIRIDA. TABLETAS O CAPSULAS CADA CAPSULA O TABLETA CONTIENE: SULPIRIDA 200 MGENVASE CON 20 TABLETAS.</v>
          </cell>
          <cell r="U1360">
            <v>2458</v>
          </cell>
          <cell r="V1360">
            <v>6144</v>
          </cell>
        </row>
        <row r="1361">
          <cell r="A1361">
            <v>1358</v>
          </cell>
          <cell r="B1361" t="str">
            <v>040.000.6298.00</v>
          </cell>
          <cell r="E1361" t="str">
            <v>ALPRAZOLAM. TABLETA CADA TABLETA CONTIENE: ALPRAZOLAM 0.5 MG ENVASE CON 30TABLETAS.</v>
          </cell>
          <cell r="U1361">
            <v>65434</v>
          </cell>
          <cell r="V1361">
            <v>163584</v>
          </cell>
        </row>
        <row r="1362">
          <cell r="A1362">
            <v>1359</v>
          </cell>
          <cell r="B1362" t="str">
            <v>040.000.6299.00</v>
          </cell>
          <cell r="E1362" t="str">
            <v>QUETIAPINA. TABLETA Cada tableta contiene: Fumarato de quetiapina Equivalente a 25 mg de quetiapina. Envase con 30 tabletas</v>
          </cell>
          <cell r="U1362">
            <v>40007</v>
          </cell>
          <cell r="V1362">
            <v>100016</v>
          </cell>
        </row>
        <row r="1363">
          <cell r="A1363">
            <v>1360</v>
          </cell>
          <cell r="B1363" t="str">
            <v>040.000.7029.00</v>
          </cell>
          <cell r="E1363" t="str">
            <v>Esketamina.Soución para inhalación. Cada dispensador contiene: Clorhidrato de Esketamina equivalente a 28 mg de Esketamina
Caja con 1 vial es un dispensador (dispositivo de aerosol nasal) con 0.230mL.</v>
          </cell>
          <cell r="U1363">
            <v>132</v>
          </cell>
          <cell r="V1363">
            <v>330</v>
          </cell>
        </row>
        <row r="1364">
          <cell r="A1364">
            <v>1361</v>
          </cell>
          <cell r="B1364" t="str">
            <v>060.004.0109</v>
          </cell>
          <cell r="E1364" t="str">
            <v>Abatelenguas. De madera desechables. Largo: 142.0 mm. Ancho: 18.0 mm. Envase con 500 piezas.</v>
          </cell>
          <cell r="U1364">
            <v>192756</v>
          </cell>
          <cell r="V1364">
            <v>481888</v>
          </cell>
        </row>
        <row r="1365">
          <cell r="A1365">
            <v>1362</v>
          </cell>
          <cell r="B1365" t="str">
            <v>060.011.0464</v>
          </cell>
          <cell r="E1365" t="str">
            <v>Conectores. Rotador metálico para catéter (macho-hembra). Pieza.</v>
          </cell>
          <cell r="U1365">
            <v>7732</v>
          </cell>
          <cell r="V1365">
            <v>19328</v>
          </cell>
        </row>
        <row r="1366">
          <cell r="A1366">
            <v>1363</v>
          </cell>
          <cell r="B1366" t="str">
            <v>060.016.0154</v>
          </cell>
          <cell r="E1366" t="str">
            <v>ACEITES. MINERAL PARA USO EXTERNO. ENVASE CON 250 ML.</v>
          </cell>
          <cell r="U1366">
            <v>39701</v>
          </cell>
          <cell r="V1366">
            <v>99250</v>
          </cell>
        </row>
        <row r="1367">
          <cell r="A1367">
            <v>1364</v>
          </cell>
          <cell r="B1367" t="str">
            <v>060.016.0204</v>
          </cell>
          <cell r="E1367" t="str">
            <v>ACEITES . LUBRICANTE PARA PIEZA DE MANO DE BAJA VELOCIDAD. ENVASE CON APLICADOR CON 120 ML.</v>
          </cell>
          <cell r="U1367">
            <v>23335</v>
          </cell>
          <cell r="V1367">
            <v>58336</v>
          </cell>
        </row>
        <row r="1368">
          <cell r="A1368">
            <v>1365</v>
          </cell>
          <cell r="B1368" t="str">
            <v>060.016.0261</v>
          </cell>
          <cell r="E1368" t="str">
            <v>Aceites. Hidrosoluble para lubricar y prevenir el deterioro del instrumental quirúrgico. Incluye: envase con atomizador para aplicación. Envase con 240 ml a 4 lts.</v>
          </cell>
          <cell r="U1368">
            <v>30536</v>
          </cell>
          <cell r="V1368">
            <v>76339</v>
          </cell>
        </row>
        <row r="1369">
          <cell r="A1369">
            <v>1366</v>
          </cell>
          <cell r="B1369" t="str">
            <v>060.016.0279</v>
          </cell>
          <cell r="E1369" t="str">
            <v>Aceites. De almendras dulces. Envase con 4 lts.</v>
          </cell>
          <cell r="U1369">
            <v>4234</v>
          </cell>
          <cell r="V1369">
            <v>10584</v>
          </cell>
        </row>
        <row r="1370">
          <cell r="A1370">
            <v>1367</v>
          </cell>
          <cell r="B1370" t="str">
            <v>060.016.0287</v>
          </cell>
          <cell r="E1370" t="str">
            <v>Aceites. De silicón para cirugía oftálmica. Envase con 10 ml.</v>
          </cell>
          <cell r="U1370">
            <v>2137</v>
          </cell>
          <cell r="V1370">
            <v>5341</v>
          </cell>
        </row>
        <row r="1371">
          <cell r="A1371">
            <v>1368</v>
          </cell>
          <cell r="B1371" t="str">
            <v>060.030.0073</v>
          </cell>
          <cell r="E1371" t="str">
            <v>ADAPTADORES. ADAPTADOR Y TAPÓN DE PLÁSTICO CON ROSCA PARA CATÉTER. ESTÉRIL Y DESECHABLE. TIPO: TENCKHOFF. JUEGO.</v>
          </cell>
          <cell r="U1371">
            <v>10508</v>
          </cell>
          <cell r="V1371">
            <v>26266</v>
          </cell>
        </row>
        <row r="1372">
          <cell r="A1372">
            <v>1369</v>
          </cell>
          <cell r="B1372" t="str">
            <v>060.030.0172</v>
          </cell>
          <cell r="E1372" t="str">
            <v>ADAPTADORES. ADAPTADOR DE PLASTICO, GRADO MEDICO PARA SER USADO CON LA JERINGA YCANULA DE ASPIRACION MANUAL ENDOUTERINA, VALVULA DOBLE, BOLSA CON 5 PIEZAS, UNADE CADA COLOR. COLOR: AZUL. DIAMETRO: 4, 5 Y 6 MM. COLOR: MARFIL. DIAMETRO: 7MM. COLOR: AMARILLO. DIAMETRO: 8 MM. COLOR: CAFE. DIAMETRO: 9 MM. COLOR: VERDE.DIAMETRO: 10 MM. PIEZA.</v>
          </cell>
          <cell r="U1372">
            <v>6866</v>
          </cell>
          <cell r="V1372">
            <v>17162</v>
          </cell>
        </row>
        <row r="1373">
          <cell r="A1373">
            <v>1370</v>
          </cell>
          <cell r="B1373" t="str">
            <v>060.031.0015</v>
          </cell>
          <cell r="E1373" t="str">
            <v>ADHESIVOS. ADHESIVO QUIRURGICO A BASE DE SUERO DE ALBUMINA BOVINA AL 45% YGLUTARALDEHIDO AL 10%; COMO AUXILIAR EN LAS TECNICAS DE HEMOSTASIA Y SUTURA;PARA UNIR SELLAR O REFORZAR TEJIDO BLANDO EN REPARACIONES QUIRURGICAS. ENVASECON: 2 ML.</v>
          </cell>
          <cell r="U1373">
            <v>394</v>
          </cell>
          <cell r="V1373">
            <v>983</v>
          </cell>
        </row>
        <row r="1374">
          <cell r="A1374">
            <v>1371</v>
          </cell>
          <cell r="B1374" t="str">
            <v>060.031.0023</v>
          </cell>
          <cell r="E1374" t="str">
            <v>ADHESIVOS. ADHESIVO QUIRURGICO A BASE DE SUERO DE ALBUMINA BOVINA AL 45% YGLUTARALDEHIDO AL 10%; COMO AUXILIAR EN LAS TECNICAS DE HEMOSTASIA Y SUTURA;PARA UNIR SELLAR O REFORZAR TEJIDO BLANDO EN REPARACIONES QUIRURGICAS. ENVASECON: 5 ML.</v>
          </cell>
          <cell r="U1374">
            <v>199</v>
          </cell>
          <cell r="V1374">
            <v>496</v>
          </cell>
        </row>
        <row r="1375">
          <cell r="A1375">
            <v>1372</v>
          </cell>
          <cell r="B1375" t="str">
            <v>060.031.0031</v>
          </cell>
          <cell r="E1375" t="str">
            <v>Adhesivo para piel a base de 2-octil o n-butil cianoacrilato de alta viscosidad en envase sin aplicador. Conteniendo: 0.50 a 0.75 ml. Estéril. Pieza.</v>
          </cell>
          <cell r="U1375">
            <v>5086</v>
          </cell>
          <cell r="V1375">
            <v>12713</v>
          </cell>
        </row>
        <row r="1376">
          <cell r="A1376">
            <v>1373</v>
          </cell>
          <cell r="B1376" t="str">
            <v>060.031.0056</v>
          </cell>
          <cell r="E1376" t="str">
            <v>ADHESIVO. ADHESIVO DENTAL PARA RESINAS DIRECTAS AUTOPOLIMERIZABLE OFOTOPOLIMERIZABLE. FRASCO DE 6 G.</v>
          </cell>
          <cell r="U1376">
            <v>3004</v>
          </cell>
          <cell r="V1376">
            <v>7506</v>
          </cell>
        </row>
        <row r="1377">
          <cell r="A1377">
            <v>1374</v>
          </cell>
          <cell r="B1377" t="str">
            <v>060.031.0064</v>
          </cell>
          <cell r="E1377" t="str">
            <v>Adhesivo. Adhesivo dental para resinas directas autopolimerizable o fotopolimerizable. Frasco de 4 ml.</v>
          </cell>
          <cell r="U1377">
            <v>11967</v>
          </cell>
          <cell r="V1377">
            <v>29915</v>
          </cell>
        </row>
        <row r="1378">
          <cell r="A1378">
            <v>1375</v>
          </cell>
          <cell r="B1378" t="str">
            <v>060.031.0072</v>
          </cell>
          <cell r="E1378" t="str">
            <v>Adhesivo. Adhesivo dental para resinas directas autopolimerizable o fotopolimerizable. Frasco de 5 ml.</v>
          </cell>
          <cell r="U1378">
            <v>16121</v>
          </cell>
          <cell r="V1378">
            <v>40301</v>
          </cell>
        </row>
        <row r="1379">
          <cell r="A1379">
            <v>1376</v>
          </cell>
          <cell r="B1379" t="str">
            <v>060.031.0080</v>
          </cell>
          <cell r="E1379" t="str">
            <v>Adhesivo. Adhesivo dental para resinas directas autopolimerizable o fotopolimerizable. Frasco de 6 ml.</v>
          </cell>
          <cell r="U1379">
            <v>33305</v>
          </cell>
          <cell r="V1379">
            <v>83262</v>
          </cell>
        </row>
        <row r="1380">
          <cell r="A1380">
            <v>1377</v>
          </cell>
          <cell r="B1380" t="str">
            <v>060.032.0014</v>
          </cell>
          <cell r="E1380" t="str">
            <v>PLANTILLA. PARA ESTIRAR INJERTOS (MALLAR) 3 X 1 CM. ENVASE CON 20 PIEZAS.</v>
          </cell>
          <cell r="U1380">
            <v>542</v>
          </cell>
          <cell r="V1380">
            <v>1352</v>
          </cell>
        </row>
        <row r="1381">
          <cell r="A1381">
            <v>1378</v>
          </cell>
          <cell r="B1381" t="str">
            <v>060.033.0013</v>
          </cell>
          <cell r="E1381" t="str">
            <v>Aerosol para Tratamiento de Heridas.. Aerosol para el tratamiento de heridas el cual es auxiliar en el tratamiento de heridas de úlcera diabética. 88.35% de agua, 10% de Hemoglobina, 0.9% de Cloruro de sodio, 0.7% de Fenosietanol (2-phenoxi- etanol), 0.05% de Acetilcisteina (N-acetyl- cystine). Caja con frasco aerosol de aluminio con 20 mL.</v>
          </cell>
          <cell r="U1381">
            <v>66935</v>
          </cell>
          <cell r="V1381">
            <v>167336</v>
          </cell>
        </row>
        <row r="1382">
          <cell r="A1382">
            <v>1379</v>
          </cell>
          <cell r="B1382" t="str">
            <v>060.034.0103</v>
          </cell>
          <cell r="E1382" t="str">
            <v>Antisépticos. Agua oxigenada en concentración del 2.5 a 3.5%. Envase con 480 ml.</v>
          </cell>
          <cell r="U1382">
            <v>581284</v>
          </cell>
          <cell r="V1382">
            <v>1453206</v>
          </cell>
        </row>
        <row r="1383">
          <cell r="A1383">
            <v>1380</v>
          </cell>
          <cell r="B1383" t="str">
            <v>060.034.0160</v>
          </cell>
          <cell r="E1383" t="str">
            <v>AGUJAS. AGUJA DE ACERO INOXIDABLE PARA BIOPSIA A TRAVÉS DEL TRANSDUCTOR DE ULTRASONIDO INTRACAVITARIO. REUTILIZABLE. LONGITUD: 10 CM. CALIBRE: 18 G. PIEZA.</v>
          </cell>
          <cell r="U1383">
            <v>15991</v>
          </cell>
          <cell r="V1383">
            <v>39977</v>
          </cell>
        </row>
        <row r="1384">
          <cell r="A1384">
            <v>1381</v>
          </cell>
          <cell r="B1384" t="str">
            <v>060.034.0178</v>
          </cell>
          <cell r="E1384" t="str">
            <v>AGUJAS. AGUJA DE ACERO INOXIDABLE PARA BIOPSIA A TRAVÉS DEL TRANSDUCTOR DE ULTRASONIDO INTRACAVITARIO. REUTILIZABLE. LONGITUD: 16 CM. CALIBRE: 18 G. PIEZA.</v>
          </cell>
          <cell r="U1384">
            <v>1784</v>
          </cell>
          <cell r="V1384">
            <v>4456</v>
          </cell>
        </row>
        <row r="1385">
          <cell r="A1385">
            <v>1382</v>
          </cell>
          <cell r="B1385" t="str">
            <v>060.034.0186</v>
          </cell>
          <cell r="E1385" t="str">
            <v>AGUJAS. AGUJA DE ACERO INOXIDABLE PARA BIOPSIA A TRAVÉS DEL TRANSDUCTOR DE ULTRASONIDO INTRACAVITARIO. REUTILIZABLE. LONGITUD: 20 CM. CALIBRE: 18 G. PIEZA.</v>
          </cell>
          <cell r="U1385">
            <v>9238</v>
          </cell>
          <cell r="V1385">
            <v>23093</v>
          </cell>
        </row>
        <row r="1386">
          <cell r="A1386">
            <v>1383</v>
          </cell>
          <cell r="B1386" t="str">
            <v>060.034.0194</v>
          </cell>
          <cell r="E1386" t="str">
            <v>AGUJAS. AGUJA DE ACERO INOXIDABLE PARA BIOPSIA A TRAVÉS DEL TRANSDUCTOR DE ULTRASONIDO INTRACAVITARIO. REUTILIZABLE. LONGITUD: 10 CM. CALIBRE: 20 G. PIEZA.</v>
          </cell>
          <cell r="U1386">
            <v>1200</v>
          </cell>
          <cell r="V1386">
            <v>2999</v>
          </cell>
        </row>
        <row r="1387">
          <cell r="A1387">
            <v>1384</v>
          </cell>
          <cell r="B1387" t="str">
            <v>060.034.0202</v>
          </cell>
          <cell r="E1387" t="str">
            <v>AGUJAS. AGUJA DE ACERO INOXIDABLE PARA BIOPSIA A TRAVÉS DEL TRANSDUCTOR DE ULTRASONIDO INTRACAVITARIO. REUTILIZABLE. LONGITUD: 16 CM. CALIBRE: 20 G. PIEZA.</v>
          </cell>
          <cell r="U1387">
            <v>487</v>
          </cell>
          <cell r="V1387">
            <v>1215</v>
          </cell>
        </row>
        <row r="1388">
          <cell r="A1388">
            <v>1385</v>
          </cell>
          <cell r="B1388" t="str">
            <v>060.034.0210</v>
          </cell>
          <cell r="E1388" t="str">
            <v>AGUJAS. AGUJA DE ACERO INOXIDABLE PARA BIOPSIA A TRAVÉS DEL TRANSDUCTOR DE ULTRASONIDO INTRACAVITARIO. REUTILIZABLE. LONGITUD: 20 CM. CALIBRE: 20 G. PIEZA.</v>
          </cell>
          <cell r="U1388">
            <v>1704</v>
          </cell>
          <cell r="V1388">
            <v>4256</v>
          </cell>
        </row>
        <row r="1389">
          <cell r="A1389">
            <v>1386</v>
          </cell>
          <cell r="B1389" t="str">
            <v>060.034.0228</v>
          </cell>
          <cell r="E1389" t="str">
            <v>AGUJAS. AGUJA DE ACERO INOXIDABLE PARA BIOPSIA A TRAVÉS DEL TRANSDUCTOR DE ULTRASONIDO INTRACAVITARIO. REUTILIZABLE. LONGITUD: 10 CM. CALIBRE: 14 G. PIEZA.</v>
          </cell>
          <cell r="U1389">
            <v>18233</v>
          </cell>
          <cell r="V1389">
            <v>45581</v>
          </cell>
        </row>
        <row r="1390">
          <cell r="A1390">
            <v>1387</v>
          </cell>
          <cell r="B1390" t="str">
            <v>060.034.0236</v>
          </cell>
          <cell r="E1390" t="str">
            <v>AGUJAS. AGUJA DE ACERO INOXIDABLE PARA BIOPSIA A TRAVÉS DEL TRANSDUCTOR DE ULTRASONIDO INTRACAVITARIO. REUTILIZABLE. LONGITUD: 16 CM. CALIBRE: 26 G. PIEZA.</v>
          </cell>
          <cell r="U1390">
            <v>404</v>
          </cell>
          <cell r="V1390">
            <v>1006</v>
          </cell>
        </row>
        <row r="1391">
          <cell r="A1391">
            <v>1388</v>
          </cell>
          <cell r="B1391" t="str">
            <v>060.034.0244</v>
          </cell>
          <cell r="E1391" t="str">
            <v>AGUJAS. AGUJA DE ACERO INOXIDABLE PARA BIOPSIA A TRAVÉS DEL TRANSDUCTOR DE ULTRASONIDO INTRACAVITARIO. REUTILIZABLE. LONGITUD: 20 CM. CALIBRE: 26 G. PIEZA.</v>
          </cell>
          <cell r="U1391">
            <v>991</v>
          </cell>
          <cell r="V1391">
            <v>2474</v>
          </cell>
        </row>
        <row r="1392">
          <cell r="A1392">
            <v>1389</v>
          </cell>
          <cell r="B1392" t="str">
            <v>060.040.0097</v>
          </cell>
          <cell r="E1392" t="str">
            <v>AGUJAS. PARA BIOPSIA DE HUESO CON MANGO Y DOS MANDRILES RANURADOS. TIPO: WESTEERMAND. LONGITUD: 25 CM. CALIBRE: 10 G. PIEZA.</v>
          </cell>
          <cell r="U1392">
            <v>563</v>
          </cell>
          <cell r="V1392">
            <v>1405</v>
          </cell>
        </row>
        <row r="1393">
          <cell r="A1393">
            <v>1390</v>
          </cell>
          <cell r="B1393" t="str">
            <v>060.040.0121</v>
          </cell>
          <cell r="E1393" t="str">
            <v>AGUJAS. PARA BIOPSIA REESTERILIZABLES. TIPO: OSGOOD. 3.3 CM. 18 G. PIEZA.</v>
          </cell>
          <cell r="U1393">
            <v>15</v>
          </cell>
          <cell r="V1393">
            <v>36</v>
          </cell>
        </row>
        <row r="1394">
          <cell r="A1394">
            <v>1391</v>
          </cell>
          <cell r="B1394" t="str">
            <v>060.040.0147</v>
          </cell>
          <cell r="E1394" t="str">
            <v>AGUJAS. PARA BIOPSIA DE HUESO CON MANGO Y DOS MANDRILES RANURADOS. TIPO: WESTEERMAND. LONGITUD: 20 CM. CALIBRE: 11 G. PIEZA.</v>
          </cell>
          <cell r="U1394">
            <v>763</v>
          </cell>
          <cell r="V1394">
            <v>1906</v>
          </cell>
        </row>
        <row r="1395">
          <cell r="A1395">
            <v>1392</v>
          </cell>
          <cell r="B1395" t="str">
            <v>060.040.0238</v>
          </cell>
          <cell r="E1395" t="str">
            <v>AGUJAS. PARA ANGIOGRAFÍA CEREBRAL. DE PARED DELGADA. TIPO: COURNAND. LONGITUD: 75 MM. CALIBRE: 18 G. PIEZA.</v>
          </cell>
          <cell r="U1395">
            <v>344</v>
          </cell>
          <cell r="V1395">
            <v>859</v>
          </cell>
        </row>
        <row r="1396">
          <cell r="A1396">
            <v>1393</v>
          </cell>
          <cell r="B1396" t="str">
            <v>060.040.0303</v>
          </cell>
          <cell r="E1396" t="str">
            <v>Agujas. Para raquianestesia o punción lumbar. Con mandril. Desechables estériles. Longitud: 7.5 a 8.8 cm. Calibre:  20 G. Pieza.</v>
          </cell>
          <cell r="U1396">
            <v>20816</v>
          </cell>
          <cell r="V1396">
            <v>52037</v>
          </cell>
        </row>
        <row r="1397">
          <cell r="A1397">
            <v>1394</v>
          </cell>
          <cell r="B1397" t="str">
            <v>060.040.0352</v>
          </cell>
          <cell r="E1397" t="str">
            <v>AGUJAS. PARA RAQUIANESTESIA O PUNCIÓN LUMBAR. CON MANDRIL. DESECHABLES ESTÉRILES. LONGITUD: 7.5 A 8.8 CM. CALIBRE: 21 G. PIEZA.</v>
          </cell>
          <cell r="U1397">
            <v>21813</v>
          </cell>
          <cell r="V1397">
            <v>54529</v>
          </cell>
        </row>
        <row r="1398">
          <cell r="A1398">
            <v>1395</v>
          </cell>
          <cell r="B1398" t="str">
            <v>060.040.0378</v>
          </cell>
          <cell r="E1398" t="str">
            <v>Agujas. Para raquianestesia o punción lumbar. Con mandril. Desechables estériles. Longitud: 7.5 a 8.8 cm. Calibre: 23 G. Pieza.</v>
          </cell>
          <cell r="U1398">
            <v>320</v>
          </cell>
          <cell r="V1398">
            <v>796</v>
          </cell>
        </row>
        <row r="1399">
          <cell r="A1399">
            <v>1396</v>
          </cell>
          <cell r="B1399" t="str">
            <v>060.040.0386</v>
          </cell>
          <cell r="E1399" t="str">
            <v>Agujas. Para anestesia retrobulbar. Longitud: 3.5 cm. Calibre: 25 G. Pieza.</v>
          </cell>
          <cell r="U1399">
            <v>80</v>
          </cell>
          <cell r="V1399">
            <v>200</v>
          </cell>
        </row>
        <row r="1400">
          <cell r="A1400">
            <v>1397</v>
          </cell>
          <cell r="B1400" t="str">
            <v>060.040.0444</v>
          </cell>
          <cell r="E1400" t="str">
            <v>Aguja. Aguja para laparoscopía, 5 mm de diámetro 38 cm de longitud, extremos de calibre 16, 18 y 20 ga, con adaptador para jeringa.</v>
          </cell>
          <cell r="U1400">
            <v>2684</v>
          </cell>
          <cell r="V1400">
            <v>6707</v>
          </cell>
        </row>
        <row r="1401">
          <cell r="A1401">
            <v>1398</v>
          </cell>
          <cell r="B1401" t="str">
            <v>060.040.0535</v>
          </cell>
          <cell r="E1401" t="str">
            <v>Agujas. Tipo: huber angulada a 90° de acero inoxidable para utilizarse con las claves 060.303.0123 y 060.167.8782. Longitud: 19.1 mm. Calibre: 22 G. Pieza.</v>
          </cell>
          <cell r="U1401">
            <v>26353</v>
          </cell>
          <cell r="V1401">
            <v>65880</v>
          </cell>
        </row>
        <row r="1402">
          <cell r="A1402">
            <v>1399</v>
          </cell>
          <cell r="B1402" t="str">
            <v>060.040.0543</v>
          </cell>
          <cell r="E1402" t="str">
            <v>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v>
          </cell>
          <cell r="U1402">
            <v>819872</v>
          </cell>
          <cell r="V1402">
            <v>2049678</v>
          </cell>
        </row>
        <row r="1403">
          <cell r="A1403">
            <v>1400</v>
          </cell>
          <cell r="B1403" t="str">
            <v>060.040.0576</v>
          </cell>
          <cell r="E1403" t="str">
            <v>AGUJAS. PARA ANGIOGRAFÍA CEREBRAL. DE PARED DELGADA. TIPO: COURNAND. LONGITUD: 91 MM. CALIBRE: 16 G. PIEZA.</v>
          </cell>
          <cell r="U1403">
            <v>42</v>
          </cell>
          <cell r="V1403">
            <v>105</v>
          </cell>
        </row>
        <row r="1404">
          <cell r="A1404">
            <v>1401</v>
          </cell>
          <cell r="B1404" t="str">
            <v>060.040.0790</v>
          </cell>
          <cell r="E1404" t="str">
            <v>AGUJAS. PARA BIOPSIA DE HUESO. REESTERILIZABLE. TIPO: JAMSHIDI. LONGITUD: 10 CM. CALIBRE: 11 G. PIEZA.</v>
          </cell>
          <cell r="U1404">
            <v>20275</v>
          </cell>
          <cell r="V1404">
            <v>50687</v>
          </cell>
        </row>
        <row r="1405">
          <cell r="A1405">
            <v>1402</v>
          </cell>
          <cell r="B1405" t="str">
            <v>060.040.0824</v>
          </cell>
          <cell r="E1405" t="str">
            <v>AGUJAS PARA TRANSPLANTE DE MEDULA OSEA. ESTERILES Y DESECHABLES. TIPO STEIS.LONGITUD: 10 CM CALIBRE: 11 G. PIEZA.</v>
          </cell>
          <cell r="U1405">
            <v>810</v>
          </cell>
          <cell r="V1405">
            <v>2024</v>
          </cell>
        </row>
        <row r="1406">
          <cell r="A1406">
            <v>1403</v>
          </cell>
          <cell r="B1406" t="str">
            <v>060.040.0832</v>
          </cell>
          <cell r="E1406" t="str">
            <v>AGUJAS PARA TRANSPLANTE DE MEDULA OSEA. ESTERILES Y DESECHABLES. TIPO STEIS.LONGITUD: 10 CM CALIBRE: 8 G. PIEZA.</v>
          </cell>
          <cell r="U1406">
            <v>360</v>
          </cell>
          <cell r="V1406">
            <v>898</v>
          </cell>
        </row>
        <row r="1407">
          <cell r="A1407">
            <v>1404</v>
          </cell>
          <cell r="B1407" t="str">
            <v>060.040.0840</v>
          </cell>
          <cell r="E1407" t="str">
            <v>Agujas. Para biopsia desechable. Tipo: trucut. Longitud: 20 cm. Calibre: 18 G. Pieza. Pieza.</v>
          </cell>
          <cell r="U1407">
            <v>10233</v>
          </cell>
          <cell r="V1407">
            <v>25581</v>
          </cell>
        </row>
        <row r="1408">
          <cell r="A1408">
            <v>1405</v>
          </cell>
          <cell r="B1408" t="str">
            <v>060.040.0857</v>
          </cell>
          <cell r="E1408" t="str">
            <v>Agujas. Tipo: huber angulada a 90° de acero inoxidable para utilizarse con las claves 060.303.0123 y 060.167.8782. Longitud: 31.8 mm. Calibre: 22 G. Pieza.</v>
          </cell>
          <cell r="U1408">
            <v>15774</v>
          </cell>
          <cell r="V1408">
            <v>39434</v>
          </cell>
        </row>
        <row r="1409">
          <cell r="A1409">
            <v>1406</v>
          </cell>
          <cell r="B1409" t="str">
            <v>060.040.0865</v>
          </cell>
          <cell r="E1409" t="str">
            <v>Agujas. Tipo: huber angulada a 90° de acero inoxidable para utilizarse con las claves 060.303.0123 y 060.167.8782. Longitud: 19.1 mm. Calibre: 20 G. Pieza.</v>
          </cell>
          <cell r="U1409">
            <v>80043</v>
          </cell>
          <cell r="V1409">
            <v>200106</v>
          </cell>
        </row>
        <row r="1410">
          <cell r="A1410">
            <v>1407</v>
          </cell>
          <cell r="B1410" t="str">
            <v>060.040.0873</v>
          </cell>
          <cell r="E1410" t="str">
            <v>Agujas. Tipo: huber angulada a 90° de acero inoxidable para utilizarse con las claves 060.303.0123 y 060.167.8782. Longitud: 31.8 mm. Calibre: 20 G. Pieza.</v>
          </cell>
          <cell r="U1410">
            <v>13446</v>
          </cell>
          <cell r="V1410">
            <v>33613</v>
          </cell>
        </row>
        <row r="1411">
          <cell r="A1411">
            <v>1408</v>
          </cell>
          <cell r="B1411" t="str">
            <v>060.040.0881</v>
          </cell>
          <cell r="E1411" t="str">
            <v>Agujas. Tipo: huber angulada a 90° de acero inoxidable para utilizarse con las claves 060.303.0123 y 060.167.8782. Longitud: 19.1 mm. Calibre: 19 G. Pieza.</v>
          </cell>
          <cell r="U1411">
            <v>24219</v>
          </cell>
          <cell r="V1411">
            <v>60545</v>
          </cell>
        </row>
        <row r="1412">
          <cell r="A1412">
            <v>1409</v>
          </cell>
          <cell r="B1412" t="str">
            <v>060.040.0899</v>
          </cell>
          <cell r="E1412" t="str">
            <v>Agujas. Tipo: huber angulada a 90° de acero inoxidable para utilizarse con las claves 060.303.0123 y 060.167.8782. Longitud: 31.8 mm. Calibre: 19 G. Pieza.</v>
          </cell>
          <cell r="U1412">
            <v>12008</v>
          </cell>
          <cell r="V1412">
            <v>30020</v>
          </cell>
        </row>
        <row r="1413">
          <cell r="A1413">
            <v>1410</v>
          </cell>
          <cell r="B1413" t="str">
            <v>060.040.0956</v>
          </cell>
          <cell r="E1413" t="str">
            <v>AGUJA PARA BIOPSIA. REESTERILIZABLE, CON MANDRIL. TIPO: SILVERMAN. LONGITUD8.5CM CALIBRE 14 G. ENVASE CON 12 PIEZAS.</v>
          </cell>
          <cell r="U1413">
            <v>130</v>
          </cell>
          <cell r="V1413">
            <v>322</v>
          </cell>
        </row>
        <row r="1414">
          <cell r="A1414">
            <v>1411</v>
          </cell>
          <cell r="B1414" t="str">
            <v>060.040.2028</v>
          </cell>
          <cell r="E1414" t="str">
            <v>AGUJAS. PARA ANESTESIA EPIDURAL. DE PAREDES DELGADAS. TIPO: TUOHY. LONGITUD: 7.5 A 8.6 CM. CALIBRE: 18 G. PIEZA.</v>
          </cell>
          <cell r="U1414">
            <v>59</v>
          </cell>
          <cell r="V1414">
            <v>145</v>
          </cell>
        </row>
        <row r="1415">
          <cell r="A1415">
            <v>1412</v>
          </cell>
          <cell r="B1415" t="str">
            <v>060.040.2184</v>
          </cell>
          <cell r="E1415" t="str">
            <v>AGUJA PARA BIOPSIA REESTERILIZABLES. TIPO SHIBA. LONGITUD 15 CM CALIBRE 23 G.PIEZA.</v>
          </cell>
          <cell r="U1415">
            <v>464</v>
          </cell>
          <cell r="V1415">
            <v>1158</v>
          </cell>
        </row>
        <row r="1416">
          <cell r="A1416">
            <v>1413</v>
          </cell>
          <cell r="B1416" t="str">
            <v>060.040.3000</v>
          </cell>
          <cell r="E1416" t="str">
            <v>Agujas. Para raquianestesia o punción lumbar. Con mandril. Reesterilizables. Tipo: green. Longitud: 7.5 cm. Calibre: 20 G. Pieza.</v>
          </cell>
          <cell r="U1416">
            <v>169</v>
          </cell>
          <cell r="V1416">
            <v>420</v>
          </cell>
        </row>
        <row r="1417">
          <cell r="A1417">
            <v>1414</v>
          </cell>
          <cell r="B1417" t="str">
            <v>060.040.3711</v>
          </cell>
          <cell r="E1417" t="str">
            <v>Agujas Hipodérmicas. Hipodérmicas con pabellón luer-lock hembra de plástico desechables. Longitud: 32 mm. Calibre: 20 G. Envase con 100 piezas.</v>
          </cell>
          <cell r="U1417">
            <v>978530</v>
          </cell>
          <cell r="V1417">
            <v>2446324</v>
          </cell>
        </row>
        <row r="1418">
          <cell r="A1418">
            <v>1415</v>
          </cell>
          <cell r="B1418" t="str">
            <v>060.040.3729</v>
          </cell>
          <cell r="E1418" t="str">
            <v>Agujas Hipodérmicas. Hipodérmicas con pabellón luer-lock hembra de plástico desechables. Longitud: 38 mm. Calibre: 20 G. Envase con 100 piezas.</v>
          </cell>
          <cell r="U1418">
            <v>15766</v>
          </cell>
          <cell r="V1418">
            <v>39412</v>
          </cell>
        </row>
        <row r="1419">
          <cell r="A1419">
            <v>1416</v>
          </cell>
          <cell r="B1419" t="str">
            <v>060.040.3745</v>
          </cell>
          <cell r="E1419" t="str">
            <v>Agujas Hipodérmicas. Hipodérmicas con pabellón luer-lock hembra de plástico desechables. Longitud: 32 mm. Calibre: 21 G. Envase con 100 piezas.</v>
          </cell>
          <cell r="U1419">
            <v>235263</v>
          </cell>
          <cell r="V1419">
            <v>588156</v>
          </cell>
        </row>
        <row r="1420">
          <cell r="A1420">
            <v>1417</v>
          </cell>
          <cell r="B1420" t="str">
            <v>060.040.3760</v>
          </cell>
          <cell r="E1420" t="str">
            <v>Agujas Hipodérmicas. Hipodérmicas con pabellón luer-lock hembra de plástico desechables. Longitud: 16 mm. Calibre: 25 G. Envase con 100 piezas.</v>
          </cell>
          <cell r="U1420">
            <v>323659</v>
          </cell>
          <cell r="V1420">
            <v>809146</v>
          </cell>
        </row>
        <row r="1421">
          <cell r="A1421">
            <v>1418</v>
          </cell>
          <cell r="B1421" t="str">
            <v>060.040.3786</v>
          </cell>
          <cell r="E1421" t="str">
            <v>Agujas Hipodérmicas. Hipodérmicas con pabellón luer-lock hembra de plástico desechables. Longitud: 32 mm. Calibre: 22 G. Envase con 100 piezas.</v>
          </cell>
          <cell r="U1421">
            <v>186556</v>
          </cell>
          <cell r="V1421">
            <v>466388</v>
          </cell>
        </row>
        <row r="1422">
          <cell r="A1422">
            <v>1419</v>
          </cell>
          <cell r="B1422" t="str">
            <v>060.040.7605</v>
          </cell>
          <cell r="E1422" t="str">
            <v>AGUJAS. PARA BIOPSIA DESECHABLES. TIPO: TRUCUT. LONGITUD: 15.20 CM. CALIBRE: 14 G. PIEZA.</v>
          </cell>
          <cell r="U1422">
            <v>23986</v>
          </cell>
          <cell r="V1422">
            <v>59963</v>
          </cell>
        </row>
        <row r="1423">
          <cell r="A1423">
            <v>1420</v>
          </cell>
          <cell r="B1423" t="str">
            <v>060.040.7613</v>
          </cell>
          <cell r="E1423" t="str">
            <v>Agujas. Para biopsia desechables. Tipo: trucut. Longitud: 9.65 cm. Calibre: 14 G. Pieza.</v>
          </cell>
          <cell r="U1423">
            <v>11568</v>
          </cell>
          <cell r="V1423">
            <v>28916</v>
          </cell>
        </row>
        <row r="1424">
          <cell r="A1424">
            <v>1421</v>
          </cell>
          <cell r="B1424" t="str">
            <v>060.040.8041</v>
          </cell>
          <cell r="E1424" t="str">
            <v>Agujas . Dentales. Tipo: carpule. Desechables. Longitud: 20-25 mm. Calibre: 30 G. Tamaño: Corta. Envase con 100 piezas.</v>
          </cell>
          <cell r="U1424">
            <v>47482</v>
          </cell>
          <cell r="V1424">
            <v>118702</v>
          </cell>
        </row>
        <row r="1425">
          <cell r="A1425">
            <v>1422</v>
          </cell>
          <cell r="B1425" t="str">
            <v>060.040.8058</v>
          </cell>
          <cell r="E1425" t="str">
            <v>Agujas. Dentales. Tipo: carpule. Desechables. Longitud: 25-42 mm. Calibre: 27 G. Tamaño: Larga. Envase con 100 piezas.</v>
          </cell>
          <cell r="U1425">
            <v>21269</v>
          </cell>
          <cell r="V1425">
            <v>53169</v>
          </cell>
        </row>
        <row r="1426">
          <cell r="A1426">
            <v>1423</v>
          </cell>
          <cell r="B1426" t="str">
            <v>060.040.8710</v>
          </cell>
          <cell r="E1426" t="str">
            <v>AGUJAS PARA BIOPSIA, REESTERILIZABLES. TIPO: SHIBA. LONGITUD. 15 CM CALIBRE.22G. PIEZA.</v>
          </cell>
          <cell r="U1426">
            <v>7020</v>
          </cell>
          <cell r="V1426">
            <v>17546</v>
          </cell>
        </row>
        <row r="1427">
          <cell r="A1427">
            <v>1424</v>
          </cell>
          <cell r="B1427" t="str">
            <v>060.040.8801</v>
          </cell>
          <cell r="E1427" t="str">
            <v>Agujas. Para punción de vasos desechables. Tipo: seldinger. Longitud: 7-8 cm. Calibre: 18 G. Pieza.</v>
          </cell>
          <cell r="U1427">
            <v>6820</v>
          </cell>
          <cell r="V1427">
            <v>17048</v>
          </cell>
        </row>
        <row r="1428">
          <cell r="A1428">
            <v>1425</v>
          </cell>
          <cell r="B1428" t="str">
            <v>060.040.8843</v>
          </cell>
          <cell r="E1428" t="str">
            <v>Agujas. Para punción de vasos arteriales femorales por técnica percutánea. Longitud: 38 mm. Calibre: 21 G. Pieza.</v>
          </cell>
          <cell r="U1428">
            <v>6318</v>
          </cell>
          <cell r="V1428">
            <v>15793</v>
          </cell>
        </row>
        <row r="1429">
          <cell r="A1429">
            <v>1426</v>
          </cell>
          <cell r="B1429" t="str">
            <v>060.040.8926</v>
          </cell>
          <cell r="E1429" t="str">
            <v>Agujas. Para punción de vasos arteriales y venosos de una sola pieza pared delgada y bisel corto. Longitud: 7.0 cm. Calibre: 18 G. Para guía de 0.032" a 0.038". Pieza.</v>
          </cell>
          <cell r="U1429">
            <v>52388</v>
          </cell>
          <cell r="V1429">
            <v>130969</v>
          </cell>
        </row>
        <row r="1430">
          <cell r="A1430">
            <v>1427</v>
          </cell>
          <cell r="B1430" t="str">
            <v>060.040.9007</v>
          </cell>
          <cell r="E1430" t="str">
            <v>Agujas. Para raquianestesia o bloqueo subaracnoideo. De acero inoxidable punta tipo lápiz conector roscado luer hembra translúcido y mandril con botón indicador; sin depósito ó con depósito de 0.2ml en pabellón para líquido cefalorraquídeo. Estéril y desechable. Tipo: whitacre. Longitud: 8.7 a 9.1 cm. Calibre: 22 G. Pieza.</v>
          </cell>
          <cell r="U1430">
            <v>90758</v>
          </cell>
          <cell r="V1430">
            <v>226891</v>
          </cell>
        </row>
        <row r="1431">
          <cell r="A1431">
            <v>1428</v>
          </cell>
          <cell r="B1431" t="str">
            <v>060.040.9049</v>
          </cell>
          <cell r="E1431" t="str">
            <v>AGUJAS. PARA BIOPSIA REESTERILIZABLE. TIPO: OSGOOD. LONGITUD: CALIBRE: 3.3 CM. 16 G. PIEZA. PIEZA.</v>
          </cell>
          <cell r="U1431">
            <v>11244</v>
          </cell>
          <cell r="V1431">
            <v>28110</v>
          </cell>
        </row>
        <row r="1432">
          <cell r="A1432">
            <v>1429</v>
          </cell>
          <cell r="B1432" t="str">
            <v>060.040.9072</v>
          </cell>
          <cell r="E1432" t="str">
            <v>AGUJA ATKINSON, RETROBULBAR,CALIBRE 25, LONGITUD 35 MM.</v>
          </cell>
          <cell r="U1432">
            <v>3090</v>
          </cell>
          <cell r="V1432">
            <v>7723</v>
          </cell>
        </row>
        <row r="1433">
          <cell r="A1433">
            <v>1430</v>
          </cell>
          <cell r="B1433" t="str">
            <v>060.040.9239</v>
          </cell>
          <cell r="E1433" t="str">
            <v>AGUJAS. PARA  ANESTESIA  RETROBULBAR  O  PERIBULBAR  DE  ACERO INOXIDABLE.ESTERIL Y DESECHABLE. LONGITUD: 32 MM. CALIBRE: 27 G. PIEZA.</v>
          </cell>
          <cell r="U1433">
            <v>1781</v>
          </cell>
          <cell r="V1433">
            <v>4451</v>
          </cell>
        </row>
        <row r="1434">
          <cell r="A1434">
            <v>1431</v>
          </cell>
          <cell r="B1434" t="str">
            <v>060.040.9247</v>
          </cell>
          <cell r="E1434" t="str">
            <v>AGUJAS PARA BIOPSIA. REESTERILIZABLE. TIPO: OSGOOD. LONGITUD. 2 PULGADAS A 2.5PULGADAS CALIBRE. 18 G. PIEZA.</v>
          </cell>
          <cell r="U1434">
            <v>1574</v>
          </cell>
          <cell r="V1434">
            <v>3934</v>
          </cell>
        </row>
        <row r="1435">
          <cell r="A1435">
            <v>1432</v>
          </cell>
          <cell r="B1435" t="str">
            <v>060.040.9254</v>
          </cell>
          <cell r="E1435" t="str">
            <v>AGUJAS PARA BIOPSIA. REESTERILIZABLE. TIPO: OSGOOD. LONGITUD 2 PULGADAS A 2.5PULGADAS CALIBRE 20 G. PIEZA.</v>
          </cell>
          <cell r="U1435">
            <v>891</v>
          </cell>
          <cell r="V1435">
            <v>2225</v>
          </cell>
        </row>
        <row r="1436">
          <cell r="A1436">
            <v>1433</v>
          </cell>
          <cell r="B1436" t="str">
            <v>060.040.9262</v>
          </cell>
          <cell r="E1436" t="str">
            <v>AGUJAS. PARA BIOPSIA DE HUESO. REESTERILIZABLE. TIPO: JAMSHIDI. LONGITUD: 4 CM. CALIBRE: 15 G. PIEZA.</v>
          </cell>
          <cell r="U1436">
            <v>8190</v>
          </cell>
          <cell r="V1436">
            <v>20471</v>
          </cell>
        </row>
        <row r="1437">
          <cell r="A1437">
            <v>1434</v>
          </cell>
          <cell r="B1437" t="str">
            <v>060.040.9270</v>
          </cell>
          <cell r="E1437" t="str">
            <v>AGUJAS. PARA PUNCIÓN LUMBAR DE ACERO INOXIDABLE CON MANDRIL. REESTERILIZABLE. LONGITUD: 30 MM. CALIBRE: 20 G. PIEZA.</v>
          </cell>
          <cell r="U1437">
            <v>762</v>
          </cell>
          <cell r="V1437">
            <v>1904</v>
          </cell>
        </row>
        <row r="1438">
          <cell r="A1438">
            <v>1435</v>
          </cell>
          <cell r="B1438" t="str">
            <v>060.040.9361</v>
          </cell>
          <cell r="E1438" t="str">
            <v>AGUJAS. TIPO; HUBER ANGULADA A 90 GRADOS DE ACERO INOXIDABLE PARA UTILIZARSE CONLAS CLAVES 060.303.0123 Y 060.167.8782 LONGITUD: 25 MM CALIBRE: 19G ENVASE CON15 PIEZAS.</v>
          </cell>
          <cell r="U1438">
            <v>1635</v>
          </cell>
          <cell r="V1438">
            <v>4085</v>
          </cell>
        </row>
        <row r="1439">
          <cell r="A1439">
            <v>1436</v>
          </cell>
          <cell r="B1439" t="str">
            <v>060.040.9395</v>
          </cell>
          <cell r="E1439" t="str">
            <v>AGUJAS. TIPO; HUBER ANGULADA A 90 GRADOS DE ACERO INOXIDABLE PARA UTILIZARSE CONLAS CLAVES 060.303.0123 Y 060.167.8782 LONGITUD: 20 MM CALIBRE: 20G ENVASE CON15 PIEZAS.</v>
          </cell>
          <cell r="U1439">
            <v>566</v>
          </cell>
          <cell r="V1439">
            <v>1414</v>
          </cell>
        </row>
        <row r="1440">
          <cell r="A1440">
            <v>1437</v>
          </cell>
          <cell r="B1440" t="str">
            <v>060.040.9429</v>
          </cell>
          <cell r="E1440" t="str">
            <v>Agujas.  Tipo; huber angulada a 90 ° de acero inoxidable para utilizarse con las claves 060.303.0123 y 060.167.8782  Longitud: 25 mm Calibre: 20G Envase con 15 piezas</v>
          </cell>
          <cell r="U1440">
            <v>119</v>
          </cell>
          <cell r="V1440">
            <v>294</v>
          </cell>
        </row>
        <row r="1441">
          <cell r="A1441">
            <v>1438</v>
          </cell>
          <cell r="B1441" t="str">
            <v>060.040.9510</v>
          </cell>
          <cell r="E1441" t="str">
            <v>AGUJAS. TIPO; HUBER ANGULADA A 90 ° DE ACERO INOXIDABLE PARA UTILIZARSE CON LAS CLAVES 060.303.0123 Y 060.167.8782 LONGITUD: 25 MM CALIBRE: 22G ENVASE CON 15 PIEZAS</v>
          </cell>
          <cell r="U1441">
            <v>350</v>
          </cell>
          <cell r="V1441">
            <v>872</v>
          </cell>
        </row>
        <row r="1442">
          <cell r="A1442">
            <v>1439</v>
          </cell>
          <cell r="B1442" t="str">
            <v>060.046.1263</v>
          </cell>
          <cell r="E1442" t="str">
            <v>AGUJAS PARA HUESO, TIPO KIRSCHNER, NO ROSCADO CON PUNTA DE TROCAR. DIAMETRO DE1.0 MM A 2.5 MM Y LONGITUD DE 100.0 MM A 350.0 MM. INCLUYE MEDIDAS INTERMEDIASENTRE LAS ESPECIFICADAS.</v>
          </cell>
          <cell r="U1442">
            <v>6005</v>
          </cell>
          <cell r="V1442">
            <v>15011</v>
          </cell>
        </row>
        <row r="1443">
          <cell r="A1443">
            <v>1440</v>
          </cell>
          <cell r="B1443" t="str">
            <v>060.046.1321</v>
          </cell>
          <cell r="E1443" t="str">
            <v>AGUJAS. AGUJAS PARA HUESO TIPO KIRSCHNER NO ROSCADO CON PUNTA DE TROCAR. DIÁMETRO DE 1.0 MM A 3.0 MM LONGITUD DE 100.0 MM A 450 MM. INCLUYE MEDIDAS INTERMEDIAS ENTRE LAS ESPECIFICADAS. PIEZA.</v>
          </cell>
          <cell r="U1443">
            <v>5947</v>
          </cell>
          <cell r="V1443">
            <v>14864</v>
          </cell>
        </row>
        <row r="1444">
          <cell r="A1444">
            <v>1441</v>
          </cell>
          <cell r="B1444" t="str">
            <v>060.058.0153</v>
          </cell>
          <cell r="E1444" t="str">
            <v>Algodones. En láminas. Enrollado o plisado. Envase con 300 g.</v>
          </cell>
          <cell r="U1444">
            <v>528084</v>
          </cell>
          <cell r="V1444">
            <v>1320207</v>
          </cell>
        </row>
        <row r="1445">
          <cell r="A1445">
            <v>1442</v>
          </cell>
          <cell r="B1445" t="str">
            <v>060.064.0064</v>
          </cell>
          <cell r="E1445" t="str">
            <v>ALEACIONES PARA AMALGAMA DENTAL. EN TABLETAS DE FASE DISPERSA. COMPOSICIÓN: PLATA 68.0 - 72%. ESTAÑO 15.0 - 21%. COBRE 10.5 - 15%. MERCURIO 3% MÁXIMO. ZINC 2% MÁXIMO. ENVASE CON 80 TABLETAS (0.38875 G POR TABLETA).</v>
          </cell>
          <cell r="U1445">
            <v>16</v>
          </cell>
          <cell r="V1445">
            <v>36</v>
          </cell>
        </row>
        <row r="1446">
          <cell r="A1446">
            <v>1443</v>
          </cell>
          <cell r="B1446" t="str">
            <v>060.066.0039</v>
          </cell>
          <cell r="E1446" t="str">
            <v>Antisépticos. Alcohol desnaturalizado. Envase con 1 lt.</v>
          </cell>
          <cell r="U1446">
            <v>1344056</v>
          </cell>
          <cell r="V1446">
            <v>3360140</v>
          </cell>
        </row>
        <row r="1447">
          <cell r="A1447">
            <v>1444</v>
          </cell>
          <cell r="B1447" t="str">
            <v>060.066.0062</v>
          </cell>
          <cell r="E1447" t="str">
            <v>Jabones. Para uso prequirúrgico. Líquido y neutro (pH 7). Envase con 3.850 lts.</v>
          </cell>
          <cell r="U1447">
            <v>197711</v>
          </cell>
          <cell r="V1447">
            <v>494276</v>
          </cell>
        </row>
        <row r="1448">
          <cell r="A1448">
            <v>1445</v>
          </cell>
          <cell r="B1448" t="str">
            <v>060.066.0070</v>
          </cell>
          <cell r="E1448" t="str">
            <v>JABONES. PARA USO PREQUIRÚRGICO. LÍQUIDO Y NEUTRO (PH 7). ENVASE CON 18 LTS.</v>
          </cell>
          <cell r="U1448">
            <v>24870</v>
          </cell>
          <cell r="V1448">
            <v>62172</v>
          </cell>
        </row>
        <row r="1449">
          <cell r="A1449">
            <v>1446</v>
          </cell>
          <cell r="B1449" t="str">
            <v>060.066.0401</v>
          </cell>
          <cell r="E1449" t="str">
            <v>ANTISÉPTICOS. EUGENOL. ENVASE CON 30 ML.</v>
          </cell>
          <cell r="U1449">
            <v>5502</v>
          </cell>
          <cell r="V1449">
            <v>13753</v>
          </cell>
        </row>
        <row r="1450">
          <cell r="A1450">
            <v>1447</v>
          </cell>
          <cell r="B1450" t="str">
            <v>060.066.0500</v>
          </cell>
          <cell r="E1450" t="str">
            <v>Fluoruro de Sodio. Para prevención de caries. Acidulado al 2%. En gel de sabor. Envase con 480 ml.</v>
          </cell>
          <cell r="U1450">
            <v>90006</v>
          </cell>
          <cell r="V1450">
            <v>225015</v>
          </cell>
        </row>
        <row r="1451">
          <cell r="A1451">
            <v>1448</v>
          </cell>
          <cell r="B1451" t="str">
            <v>060.066.0658</v>
          </cell>
          <cell r="E1451" t="str">
            <v>Antisépticos. Iodopovidona espuma. Cada 100 ml contienen: Iodopovidona 8 g. Equivalente a 0.8 g de yodo. Envase con 3.5 lts.</v>
          </cell>
          <cell r="U1451">
            <v>207665</v>
          </cell>
          <cell r="V1451">
            <v>519159</v>
          </cell>
        </row>
        <row r="1452">
          <cell r="A1452">
            <v>1449</v>
          </cell>
          <cell r="B1452" t="str">
            <v>060.066.0666</v>
          </cell>
          <cell r="E1452" t="str">
            <v>Antisépticos. Iodopovidona solución. Cada 100 ml contienen: Iodopovidona 11 g. Equivalente a 1.1 g de yodo. Envase con 3.5 lts.</v>
          </cell>
          <cell r="U1452">
            <v>99313</v>
          </cell>
          <cell r="V1452">
            <v>248280</v>
          </cell>
        </row>
        <row r="1453">
          <cell r="A1453">
            <v>1450</v>
          </cell>
          <cell r="B1453" t="str">
            <v>060.066.0765</v>
          </cell>
          <cell r="E1453" t="str">
            <v>DESINFECTANTES. GLUTARALDEHIDO AL 2% CON ACTIVADOR EN POLVO (COLORVERDE AL ACTIVARSE) CON EFECTIVIDAD DE 14 DIAS. ENVASE DE PLASTICO CON 4LITROS.</v>
          </cell>
          <cell r="U1453">
            <v>30666</v>
          </cell>
          <cell r="V1453">
            <v>76662</v>
          </cell>
        </row>
        <row r="1454">
          <cell r="A1454">
            <v>1451</v>
          </cell>
          <cell r="B1454" t="str">
            <v>060.066.0773</v>
          </cell>
          <cell r="E1454" t="str">
            <v>ANTISÉPTICOS. ALCOHOL DESNATURALIZADO. ENVASE CON 20 LTS.</v>
          </cell>
          <cell r="U1454">
            <v>25757</v>
          </cell>
          <cell r="V1454">
            <v>64390</v>
          </cell>
        </row>
        <row r="1455">
          <cell r="A1455">
            <v>1452</v>
          </cell>
          <cell r="B1455" t="str">
            <v>060.066.0872</v>
          </cell>
          <cell r="E1455" t="str">
            <v>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v>
          </cell>
          <cell r="U1455">
            <v>207660</v>
          </cell>
          <cell r="V1455">
            <v>519148</v>
          </cell>
        </row>
        <row r="1456">
          <cell r="A1456">
            <v>1453</v>
          </cell>
          <cell r="B1456" t="str">
            <v>060.066.0880</v>
          </cell>
          <cell r="E1456" t="str">
            <v>DESINFECTANTES. SOLUCION CONCENTRADA ESTERILIZANTE EN FRIO DEL 8 AL12.5% DE GLUTARALDEHIDO, PARA PREPARAR UNA DILUCION DE USO FINAL DEL 2 AL3.5%. PARA UTILIZARSE EN INSTRUMENTAL TERMOSENSIBLE LIMPIO Y SIN MATERIALORGANICO. FRASCO CON UN LITRO Y DOSIFICADOR INTEGRADO. ENVASE CON 6 FRASCOS.PARA AQUELLOS PRODUCTOS QUE INDICAN REUSO, SE DEBE COMPROBAR SU ACTIVIDADQUIMICA O AUSENCIA DE CONTAMINACION MEDIANTE CULTIVOS. LA DILUCION Y EL EMPLEODEL PRODUCTO CONCENTRADO SERA DE ACUERDO A LAS INSTRUCCIONES DEL FABRICANTE.</v>
          </cell>
          <cell r="U1456">
            <v>26844</v>
          </cell>
          <cell r="V1456">
            <v>67108</v>
          </cell>
        </row>
        <row r="1457">
          <cell r="A1457">
            <v>1454</v>
          </cell>
          <cell r="B1457" t="str">
            <v>060.066.0898</v>
          </cell>
          <cell r="E1457" t="str">
            <v>Antisépticos. Líquido antiséptico para lavado pre y postquirúrgico de manos y piel formulado a base de yodo polivinil pirrolidona equivalente a 1.0% mínimo de yodo disponible 10% mínimo de detergentes no iónicos y estabilizadores. De amplio espectro antimicrobiano. Envase con 4 lts.</v>
          </cell>
          <cell r="U1457">
            <v>11651</v>
          </cell>
          <cell r="V1457">
            <v>29124</v>
          </cell>
        </row>
        <row r="1458">
          <cell r="A1458">
            <v>1455</v>
          </cell>
          <cell r="B1458" t="str">
            <v>060.066.0906</v>
          </cell>
          <cell r="E1458" t="str">
            <v>Antisépticos. Gel antiséptico para manos que no requiere enjuague. Formulado a base de alcohol etílico de 60-80% w/w; adicionado con humectantes y emolientes; hipoalergénico. Envase con 500 ml.</v>
          </cell>
          <cell r="U1458">
            <v>1198681</v>
          </cell>
          <cell r="V1458">
            <v>2996700</v>
          </cell>
        </row>
        <row r="1459">
          <cell r="A1459">
            <v>1456</v>
          </cell>
          <cell r="B1459" t="str">
            <v>060.066.0914</v>
          </cell>
          <cell r="E1459" t="str">
            <v>ANTISEPTICOS. LIQUIDO ANTISEPTICO, PARA LAVADO PRE Y POST QUIRURGICO DE MANOS YPIEL. FORMULADO A BASE DE 0.75% MINIMO DE TRICLOSAN, 1.1% MINIMO DEORTOFENILFENOL CON 10% MINIMO DE JABON ANHIDRO DE COCO EN BASE SECA,HUMECTANTES Y SUAVIZANTES. DE AMPLIO ESPECTRO ANTIMICROBIANO. ENVASE CON 4LITROS.</v>
          </cell>
          <cell r="U1459">
            <v>48460</v>
          </cell>
          <cell r="V1459">
            <v>121150</v>
          </cell>
        </row>
        <row r="1460">
          <cell r="A1460">
            <v>1457</v>
          </cell>
          <cell r="B1460" t="str">
            <v>060.066.0922</v>
          </cell>
          <cell r="E1460" t="str">
            <v>Antisépticos. Solución que contiene yodóforo o yodopovacrilex (0.7% de yodo libre) alcohol isopropílico al 74% y un polímero que forma sobre la piel una película. Contiene: Dos hisopos un aplicador plástico y una ampolleta o tubo con 26 ml de solución estéril. Estuche.</v>
          </cell>
          <cell r="U1460">
            <v>445014</v>
          </cell>
          <cell r="V1460">
            <v>1112532</v>
          </cell>
        </row>
        <row r="1461">
          <cell r="A1461">
            <v>1458</v>
          </cell>
          <cell r="B1461" t="str">
            <v>060.066.0930</v>
          </cell>
          <cell r="E1461" t="str">
            <v>DETERGENTES O LIMPIADORES. DETERGENTE O LIMPIADOR POLIENZIMATICO NO IONICO OCATIONICO, A BASE DE ALCOHOL ISOPROPILICO O DERIVADOS DEL AMONIO CUATERNARIO,CON PH QUE ASEGURE EL EFECTO OPTIMO DE LAS ENZIMAS.  PARA USO MANUAL Y/OLAVADORA AUTOMATICA, Y/O LAVADORA ULTRASONICA. ENVASE CON 1 A 5 LITROS DESOLUCION CONCENTRADA. LA DILUCION Y EL EMPLEO DEL PRODUCTO CONCENTRADO SERAN DEACUERDO CON LAS INSTRUCCIONES DEL FABRICANTE. SE DEBERA TOMAR EN CONSIDERACIONEL RANGO MAS ALTO DE LA DILUCION RECOMENDADA POR EL FABRICANTE. DEBIDO A LOAMPLIO DE LA DESCRIPCION ESTA CLAVE DEBERA SOLICITARSE POR LA CANTIDAD DE LITROSDEL DETERGENTE LISTO PARA SU USO.</v>
          </cell>
          <cell r="U1461">
            <v>6784</v>
          </cell>
          <cell r="V1461">
            <v>16956</v>
          </cell>
        </row>
        <row r="1462">
          <cell r="A1462">
            <v>1459</v>
          </cell>
          <cell r="B1462" t="str">
            <v>060.066.0963</v>
          </cell>
          <cell r="E1462" t="str">
            <v>DESINFECTANTES. DESINFECTANTE DE ALTO NIVEL COMPUESTO POR ORTOFTALALDEHIDO AL0.55%.ENVASE CON 3.785 L.CON 15 TIRAS REACTIVAS.</v>
          </cell>
          <cell r="U1462">
            <v>1512</v>
          </cell>
          <cell r="V1462">
            <v>3780</v>
          </cell>
        </row>
        <row r="1463">
          <cell r="A1463">
            <v>1460</v>
          </cell>
          <cell r="B1463" t="str">
            <v>060.066.0971</v>
          </cell>
          <cell r="E1463" t="str">
            <v>DETERGENTES O LIMPIADORES. DETERGENTE O LIMPIADOR MULTIENZIMATICO COMPUESTO DECLORURO DE DODECIL O DIDECIL DIMETILAMONIO PH QUE ASEGURE LA ACCION OPTIMA DELAS ENZIMAS ACTIVO EN TODO TIPO DE AGUA NO CORROSIVO. SOBRE CON 20 A 25 G.ENVASE DESDE 10 A 100 SOBRES.</v>
          </cell>
          <cell r="U1463">
            <v>74016</v>
          </cell>
          <cell r="V1463">
            <v>185040</v>
          </cell>
        </row>
        <row r="1464">
          <cell r="A1464">
            <v>1461</v>
          </cell>
          <cell r="B1464" t="str">
            <v>060.066.0989</v>
          </cell>
          <cell r="E1464" t="str">
            <v>GLUTARALDEHIDO AL 2% ACTIVADO, DE COLOR VERDE, LISTO PARA SU USO, CONEFECTIVIDAD DE 30 DIAS CON O SIN TIRAS REACTIVAS COMO TESTIGO DE  CONCENTRACION,PARA VALIDAR SU EFECTIVIDAD. ENVASE CON 1 A 5 LITROS.</v>
          </cell>
          <cell r="U1464">
            <v>1712</v>
          </cell>
          <cell r="V1464">
            <v>4276</v>
          </cell>
        </row>
        <row r="1465">
          <cell r="A1465">
            <v>1462</v>
          </cell>
          <cell r="B1465" t="str">
            <v>060.066.0997</v>
          </cell>
          <cell r="E1465" t="str">
            <v>ANTISÉPTICOS. SOLUCIÓN ANTISÉPTICA Y DESINFECTANTE DE CLORURO DE SODIO Y CLORO ACTIVO. SOLUCIÓN AL 50%. ENVASE CON 250 ML A 5 LTS.</v>
          </cell>
          <cell r="U1465">
            <v>45357</v>
          </cell>
          <cell r="V1465">
            <v>113391</v>
          </cell>
        </row>
        <row r="1466">
          <cell r="A1466">
            <v>1463</v>
          </cell>
          <cell r="B1466" t="str">
            <v>060.066.1003</v>
          </cell>
          <cell r="E1466" t="str">
            <v>Desinfectantes. Solución desinfectante de superoxidación con pH neutro no corrosiva. Solución al 100%. Envase con 250 ml a 5 L.</v>
          </cell>
          <cell r="U1466">
            <v>54805</v>
          </cell>
          <cell r="V1466">
            <v>137009</v>
          </cell>
        </row>
        <row r="1467">
          <cell r="A1467">
            <v>1464</v>
          </cell>
          <cell r="B1467" t="str">
            <v>060.066.1011</v>
          </cell>
          <cell r="E1467" t="str">
            <v>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v>
          </cell>
          <cell r="U1467">
            <v>362488</v>
          </cell>
          <cell r="V1467">
            <v>906218</v>
          </cell>
        </row>
        <row r="1468">
          <cell r="A1468">
            <v>1465</v>
          </cell>
          <cell r="B1468" t="str">
            <v>060.066.1052</v>
          </cell>
          <cell r="E1468" t="str">
            <v>Antisépticos. Solución con gluconato de clorhexidina al 2% p/v en alcohol isopropílico al 70%. Con tinta naranja o rosa o incoloro. Contiene: 3 ml Estéril y desechable Envase</v>
          </cell>
          <cell r="U1468">
            <v>1526566</v>
          </cell>
          <cell r="V1468">
            <v>3816411</v>
          </cell>
        </row>
        <row r="1469">
          <cell r="A1469">
            <v>1466</v>
          </cell>
          <cell r="B1469" t="str">
            <v>060.066.1060</v>
          </cell>
          <cell r="E1469" t="str">
            <v>Antisépticos. Solución con gluconato de clorhexidina al 2% p/v en alcohol isopropílico al 70%. Con tinta naranja o rosa o incoloro. Contiene: 26 ml Estéril y desechable Envase</v>
          </cell>
          <cell r="U1469">
            <v>705173</v>
          </cell>
          <cell r="V1469">
            <v>1762932</v>
          </cell>
        </row>
        <row r="1470">
          <cell r="A1470">
            <v>1467</v>
          </cell>
          <cell r="B1470" t="str">
            <v>060.066.1078</v>
          </cell>
          <cell r="E1470" t="str">
            <v>Fluoruro de sodio. Barniz de Fluoruro de Sodio al 5% en una concentración de 22600 ppm autopolimerizable en un vehículo de resina modificado. Presentación unidosis o.</v>
          </cell>
          <cell r="U1470">
            <v>4986456</v>
          </cell>
          <cell r="V1470">
            <v>12466140</v>
          </cell>
        </row>
        <row r="1471">
          <cell r="A1471">
            <v>1468</v>
          </cell>
          <cell r="B1471" t="str">
            <v>060.066.1086</v>
          </cell>
          <cell r="E1471" t="str">
            <v>FLUORURO DE SODIO. BARNIZ DE FLUORURO DE SODIO AL 5% EN UNA CONCENTRACION DE22600 PPM AUTOPOLIMERIZABLE EN UN VEHICULO DE RESINA MODIFICADO. TUBO 10 ML.</v>
          </cell>
          <cell r="U1471">
            <v>7336</v>
          </cell>
          <cell r="V1471">
            <v>18338</v>
          </cell>
        </row>
        <row r="1472">
          <cell r="A1472">
            <v>1469</v>
          </cell>
          <cell r="B1472" t="str">
            <v>060.066.1094</v>
          </cell>
          <cell r="E1472" t="str">
            <v>Antisépticos. Solución con gluconato de clorhexidina al 2% p/v en alcohol isopropílico al 70% contenida en un aplicador con tinta naranja o rosa o incoloro. Contiene: 1.5 ml Estéril y desechable Envase</v>
          </cell>
          <cell r="U1472">
            <v>522998</v>
          </cell>
          <cell r="V1472">
            <v>1307494</v>
          </cell>
        </row>
        <row r="1473">
          <cell r="A1473">
            <v>1470</v>
          </cell>
          <cell r="B1473" t="str">
            <v>060.066.1102</v>
          </cell>
          <cell r="E1473" t="str">
            <v>Antisépticos. Solución con gluconato de clorhexidina al 2% p/v en alcohol isopropílico al 70% contenida en un aplicador con tinta naranja o rosa o incoloro. Contiene: 3 ml Estéril y desechable Envase</v>
          </cell>
          <cell r="U1473">
            <v>298140</v>
          </cell>
          <cell r="V1473">
            <v>745348</v>
          </cell>
        </row>
        <row r="1474">
          <cell r="A1474">
            <v>1471</v>
          </cell>
          <cell r="B1474" t="str">
            <v>060.066.1110</v>
          </cell>
          <cell r="E1474" t="str">
            <v>Antisépticos. Solución con gluconato de clorhexidina al 2% p/v en alcohol isopropílico al 70% contenida en un aplicador con tinta naranja o rosa o incoloro. Contiene: 26 ml Estéril y desechable Envase</v>
          </cell>
          <cell r="U1474">
            <v>150401</v>
          </cell>
          <cell r="V1474">
            <v>376002</v>
          </cell>
        </row>
        <row r="1475">
          <cell r="A1475">
            <v>1472</v>
          </cell>
          <cell r="B1475" t="str">
            <v>060.066.1128</v>
          </cell>
          <cell r="E1475" t="str">
            <v>Antisépticos. Solución con gluconato de clorhexidina al 2% p/v en alcohol isopropílico al 70% contenida en un aplicador con tinta naranja o rosa o incoloro. Contiene: 5.2 ml Estéril y desechable Envase</v>
          </cell>
          <cell r="U1475">
            <v>56368</v>
          </cell>
          <cell r="V1475">
            <v>140917</v>
          </cell>
        </row>
        <row r="1476">
          <cell r="A1476">
            <v>1473</v>
          </cell>
          <cell r="B1476" t="str">
            <v>060.066.1136</v>
          </cell>
          <cell r="E1476" t="str">
            <v>Antisépticos. Solución con gluconato de clorhexidina al 2% p/v en alcohol isopropílico al 70% contenida en un aplicador con tinta naranja o rosa o incoloro. Contiene: 35 ml Estéril y desechable Envase</v>
          </cell>
          <cell r="U1476">
            <v>47533</v>
          </cell>
          <cell r="V1476">
            <v>118830</v>
          </cell>
        </row>
        <row r="1477">
          <cell r="A1477">
            <v>1474</v>
          </cell>
          <cell r="B1477" t="str">
            <v>060.066.1144</v>
          </cell>
          <cell r="E1477"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60 mL.</v>
          </cell>
          <cell r="U1477">
            <v>9705</v>
          </cell>
          <cell r="V1477">
            <v>24261</v>
          </cell>
        </row>
        <row r="1478">
          <cell r="A1478">
            <v>1475</v>
          </cell>
          <cell r="B1478" t="str">
            <v>060.066.1151</v>
          </cell>
          <cell r="E1478"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120 ML.</v>
          </cell>
          <cell r="U1478">
            <v>4654</v>
          </cell>
          <cell r="V1478">
            <v>11632</v>
          </cell>
        </row>
        <row r="1479">
          <cell r="A1479">
            <v>1476</v>
          </cell>
          <cell r="B1479" t="str">
            <v>060.066.1169</v>
          </cell>
          <cell r="E1479"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240 mL.</v>
          </cell>
          <cell r="U1479">
            <v>55416</v>
          </cell>
          <cell r="V1479">
            <v>138538</v>
          </cell>
        </row>
        <row r="1480">
          <cell r="A1480">
            <v>1477</v>
          </cell>
          <cell r="B1480" t="str">
            <v>060.066.1177</v>
          </cell>
          <cell r="E1480"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500 mL.</v>
          </cell>
          <cell r="U1480">
            <v>6418</v>
          </cell>
          <cell r="V1480">
            <v>16043</v>
          </cell>
        </row>
        <row r="1481">
          <cell r="A1481">
            <v>1478</v>
          </cell>
          <cell r="B1481" t="str">
            <v>060.066.1185</v>
          </cell>
          <cell r="E1481"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 L.</v>
          </cell>
          <cell r="U1481">
            <v>2874</v>
          </cell>
          <cell r="V1481">
            <v>7183</v>
          </cell>
        </row>
        <row r="1482">
          <cell r="A1482">
            <v>1479</v>
          </cell>
          <cell r="B1482" t="str">
            <v>060.066.1193</v>
          </cell>
          <cell r="E1482"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3 L.</v>
          </cell>
          <cell r="U1482">
            <v>2311</v>
          </cell>
          <cell r="V1482">
            <v>5775</v>
          </cell>
        </row>
        <row r="1483">
          <cell r="A1483">
            <v>1480</v>
          </cell>
          <cell r="B1483" t="str">
            <v>060.066.1201</v>
          </cell>
          <cell r="E1483"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 L.</v>
          </cell>
          <cell r="U1483">
            <v>3929</v>
          </cell>
          <cell r="V1483">
            <v>9821</v>
          </cell>
        </row>
        <row r="1484">
          <cell r="A1484">
            <v>1481</v>
          </cell>
          <cell r="B1484" t="str">
            <v>060.066.1219</v>
          </cell>
          <cell r="E1484" t="str">
            <v>DESINFECTANTES. DESINFECTANTE DE ALTO NIVEL CONCENTRADO EN FORMA LÍQUIDA TRANSPARENTE ELABORADO A BASE DE: CUATERNARIOS DE AMONIO AGENTES TENSOACTIVOS Y AGUA PURIFICADA UTILIZADO PARA LIMPIAR ÁREAS DE HOSPITALES INSTRUMENTAL Y EQUIPO MÉDICO ENTRE OTROS. ENVASE DE 1 L</v>
          </cell>
          <cell r="U1484">
            <v>17576</v>
          </cell>
          <cell r="V1484">
            <v>43938</v>
          </cell>
        </row>
        <row r="1485">
          <cell r="A1485">
            <v>1482</v>
          </cell>
          <cell r="B1485" t="str">
            <v>060.066.1227</v>
          </cell>
          <cell r="E1485" t="str">
            <v>DESINFECTANTES. DESINFECTANTE DE ALTO NIVEL CONCENTRADO EN FORMA LÍQUIDA TRANSPARENTE ELABORADO A BASE DE: CUATERNARIOS DE AMONIO AGENTES TENSOACTIVOS Y AGUA PURIFICADA UTILIZADO PARA LIMPIAR ÁREAS DE HOSPITALES INSTRUMENTAL Y EQUIPO MÉDICO ENTRE OTROS. ENVASE DE 5 L</v>
          </cell>
          <cell r="U1485">
            <v>8039</v>
          </cell>
          <cell r="V1485">
            <v>20096</v>
          </cell>
        </row>
        <row r="1486">
          <cell r="A1486">
            <v>1483</v>
          </cell>
          <cell r="B1486" t="str">
            <v>060.066.1250</v>
          </cell>
          <cell r="E1486" t="str">
            <v>GEL ANTISEPTICO, PARA MANOS QUE NO REQUIERE ENJUAGUE, FORMULADO A BASE DEALCOHOL ETILICO O ISOPROPILICO MINIMO AL 70% W/W, ADICIONADO CON HUMECTANTES YEMOLIENTES; HIPOALERGENICO. ENVASE DE 950 ML A 1 LITRO INTEGRADO CON TAPA DESILLA DE MONTAR.</v>
          </cell>
          <cell r="U1486">
            <v>7137</v>
          </cell>
          <cell r="V1486">
            <v>17841</v>
          </cell>
        </row>
        <row r="1487">
          <cell r="A1487">
            <v>1484</v>
          </cell>
          <cell r="B1487" t="str">
            <v>060.066.1268</v>
          </cell>
          <cell r="E1487" t="str">
            <v>SOLUCION ANTISEPTICA CON GLUCONATO DE CLORHEXIDINA DE 0.5 AL 1%, ALCOHOLETILICO O ISOPROPILICO MINIMO 70%, ADICIONADO CON HUMECTANTES Y EMOLIENTES;HIPOALERGENICO. COMO COMPLEMENTO PARA EL LAVADO QUIRURGICO Y MEDICO; NOREQUIERE DE ENJUAGUE, CEPILLADO NI SECADO. ENVASE DE 950 ML A 1 LITRO INTEGRADOCON TAPA DE SILLA DE MONTAR.</v>
          </cell>
          <cell r="U1487">
            <v>823</v>
          </cell>
          <cell r="V1487">
            <v>2055</v>
          </cell>
        </row>
        <row r="1488">
          <cell r="A1488">
            <v>1485</v>
          </cell>
          <cell r="B1488" t="str">
            <v>060.066.1284</v>
          </cell>
          <cell r="E1488"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500 mL.</v>
          </cell>
          <cell r="U1488">
            <v>18194</v>
          </cell>
          <cell r="V1488">
            <v>45484</v>
          </cell>
        </row>
        <row r="1489">
          <cell r="A1489">
            <v>1486</v>
          </cell>
          <cell r="B1489" t="str">
            <v>060.066.1292</v>
          </cell>
          <cell r="E1489"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1 L.</v>
          </cell>
          <cell r="U1489">
            <v>4428</v>
          </cell>
          <cell r="V1489">
            <v>11069</v>
          </cell>
        </row>
        <row r="1490">
          <cell r="A1490">
            <v>1487</v>
          </cell>
          <cell r="B1490" t="str">
            <v>060.066.1300</v>
          </cell>
          <cell r="E1490" t="str">
            <v>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3 L.</v>
          </cell>
          <cell r="U1490">
            <v>100</v>
          </cell>
          <cell r="V1490">
            <v>250</v>
          </cell>
        </row>
        <row r="1491">
          <cell r="A1491">
            <v>1488</v>
          </cell>
          <cell r="B1491" t="str">
            <v>060.066.1318</v>
          </cell>
          <cell r="E1491" t="str">
            <v>ANTISÉPTICO. SOLUCIÓN ANTISÉPTICA Y ASTRINGENTE PH 14. CADA 100 ML CONTIENE: PERMANGANATO DE POTASIO 5.1250 G. ALCOHOL 60.7500 ML. ÁCIDO BENZOICO 4.0500 G. ÁCIDO SALICÍLICO 2.0250 G. AGUDA PURIFICADA 100.0000 ML. ENVASE DE 40 ML.</v>
          </cell>
          <cell r="U1491">
            <v>10570</v>
          </cell>
          <cell r="V1491">
            <v>26424</v>
          </cell>
        </row>
        <row r="1492">
          <cell r="A1492">
            <v>1489</v>
          </cell>
          <cell r="B1492" t="str">
            <v>060.066.1326</v>
          </cell>
          <cell r="E1492" t="str">
            <v>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TA</v>
          </cell>
          <cell r="U1492">
            <v>6723</v>
          </cell>
          <cell r="V1492">
            <v>16805</v>
          </cell>
        </row>
        <row r="1493">
          <cell r="A1493">
            <v>1490</v>
          </cell>
          <cell r="B1493" t="str">
            <v>060.066.1334</v>
          </cell>
          <cell r="E1493" t="str">
            <v>LIMPIADOR ANTIMICROBIANO PARA PIEL Y HERIDAS. LIMPIADOR ANTIMICROBIANO PARA PIEL Y HERIDAS ES UN LÍQUIDO CLARO ISOTÓNICO QUE AYUDA A LA REMOCIÓN MECÁNICA DE RESIDUOS CONTIENE 0.057% DE HIPOCLORITO DE SODIO COMO ANTIMICROBIANO. BOTELLA CON 8 OZ (237 ML.) CON TAPA. ENVASE CON 12 PIEZAS TA</v>
          </cell>
          <cell r="U1493">
            <v>2369</v>
          </cell>
          <cell r="V1493">
            <v>5921</v>
          </cell>
        </row>
        <row r="1494">
          <cell r="A1494">
            <v>1491</v>
          </cell>
          <cell r="B1494" t="str">
            <v>060.066.1342</v>
          </cell>
          <cell r="E1494" t="str">
            <v>Limpiador antimicrobiano para piel y heridas. Limpiador antimicrobiano para piel y heridas es un líquido claro isotónico que ayuda a la remoción mecánica de residuos contiene 0.057% de hipoclorito de sodio como antimicrobiano. Botella con 15 oz (443 ml.) con tapa. Envase con 12 piezas TA</v>
          </cell>
          <cell r="U1494">
            <v>10562</v>
          </cell>
          <cell r="V1494">
            <v>26401</v>
          </cell>
        </row>
        <row r="1495">
          <cell r="A1495">
            <v>1492</v>
          </cell>
          <cell r="B1495" t="str">
            <v>060.066.1359</v>
          </cell>
          <cell r="E1495" t="str">
            <v>ANTISÉPTICO.GEL ANTISÉPTICO ELECTROLIZADO DE SUPEROXIDACIÓN CON PH NEUTRO INDICADO COMO AUXILIAR EN EL LAVADO Y TRATAMIENTO DE INFECCIONES EN TODO TIPO DE LESIONES EN PIEL Y TEJIDOS. CONCENTRACIÓN AL 0.005% + 0.0025 DE ESPECIES ACTIVAS DE CLORO Y OXÍGENO. TUBO DE GEL CON 75 G.</v>
          </cell>
          <cell r="U1495">
            <v>9572</v>
          </cell>
          <cell r="V1495">
            <v>23928</v>
          </cell>
        </row>
        <row r="1496">
          <cell r="A1496">
            <v>1493</v>
          </cell>
          <cell r="B1496" t="str">
            <v>060.066.1367</v>
          </cell>
          <cell r="E1496" t="str">
            <v>Antiséptico.Gel antiséptico electrolizado de superoxidación con pH neutro indicado como auxiliar en el lavado y tratamiento de infecciones en todo tipo de lesiones en piel y tejidos. Concentración al 0.005% + 0.0025 de especies activas de cloro y oxígeno. Tubo de Gel con 240 g.</v>
          </cell>
          <cell r="U1496">
            <v>3353</v>
          </cell>
          <cell r="V1496">
            <v>8382</v>
          </cell>
        </row>
        <row r="1497">
          <cell r="A1497">
            <v>1494</v>
          </cell>
          <cell r="B1497" t="str">
            <v>060.066.1375</v>
          </cell>
          <cell r="E1497" t="str">
            <v>Antiséptico.Gel antiséptico electrolizado de superoxidación con pH neutro indicado como auxiliar en el lavado y tratamiento de infecciones en todo tipo de lesiones en piel y tejidos. Concentración al 0.005% + 0.0025 de especies activas de cloro y oxígeno. Envase con 500g.</v>
          </cell>
          <cell r="U1497">
            <v>2143</v>
          </cell>
          <cell r="V1497">
            <v>5355</v>
          </cell>
        </row>
        <row r="1498">
          <cell r="A1498">
            <v>1495</v>
          </cell>
          <cell r="B1498" t="str">
            <v>060.066.1383</v>
          </cell>
          <cell r="E1498" t="str">
            <v>SOLUCIÓN ACUOSA, INCOLORA E INODORA. CADA 100 G CONTIENE: POLIAMINOPROPIL BIGUANIDA (20% P/P): 0.5G SOLUCIÓN UNDECILENAMIDOPROPIL- BETAÍNA (30% P/P): 0.35G HIDRÓXIDO DE SODIO Q.S AD PH 6.5 AGUA PURIFICADA Q.S AD 100G ENVASE CON 350 ML.</v>
          </cell>
          <cell r="U1498">
            <v>3180</v>
          </cell>
          <cell r="V1498">
            <v>7950</v>
          </cell>
        </row>
        <row r="1499">
          <cell r="A1499">
            <v>1496</v>
          </cell>
          <cell r="B1499" t="str">
            <v>060.066.1391</v>
          </cell>
          <cell r="E1499" t="str">
            <v>GEL LUBRICANTE. ANESTÉSICO Y ANTISÉPTICO, HIDROSOLUBLE, TRANSPARENTE, ESTÉRIL Y DESECHABLE, QUE CONTIENE HIDROCLORURO DE LIDOCAÍNA AL 2% Y DIHIDROCLORURO DE CLORHEXIDINA AL 0.05 % CAJA CON 25 TUBOS COLAPSABLES DE 12.5G CADA UNO.</v>
          </cell>
          <cell r="U1499">
            <v>67052</v>
          </cell>
          <cell r="V1499">
            <v>167626</v>
          </cell>
        </row>
        <row r="1500">
          <cell r="A1500">
            <v>1497</v>
          </cell>
          <cell r="B1500" t="str">
            <v>060.066.1425</v>
          </cell>
          <cell r="E1500" t="str">
            <v>GLUCONATO DE CLORHEXIDINA, SOLUCION ESPUMA, ANTIMICROBIANA, PARA EL LAVADO DEMANOS QUIRURGICO, CONTIENE GLUCONATO DE CLORHEXIDINA AL 2% ALCOHOL ISOPROPILICOAGUA Y SURFACTANTES. ENVASE CON MINIMO 946ML.</v>
          </cell>
          <cell r="U1500">
            <v>1902</v>
          </cell>
          <cell r="V1500">
            <v>4753</v>
          </cell>
        </row>
        <row r="1501">
          <cell r="A1501">
            <v>1498</v>
          </cell>
          <cell r="B1501" t="str">
            <v>060.066.1441</v>
          </cell>
          <cell r="E1501" t="str">
            <v>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1 LITRO</v>
          </cell>
          <cell r="U1501">
            <v>3900</v>
          </cell>
          <cell r="V1501">
            <v>9747</v>
          </cell>
        </row>
        <row r="1502">
          <cell r="A1502">
            <v>1499</v>
          </cell>
          <cell r="B1502" t="str">
            <v>060.066.1458</v>
          </cell>
          <cell r="E1502" t="str">
            <v>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5 LITROS</v>
          </cell>
          <cell r="U1502">
            <v>3077</v>
          </cell>
          <cell r="V1502">
            <v>7691</v>
          </cell>
        </row>
        <row r="1503">
          <cell r="A1503">
            <v>1500</v>
          </cell>
          <cell r="B1503" t="str">
            <v>060.082.0054</v>
          </cell>
          <cell r="E1503" t="str">
            <v>Aplicadores. Sin algodón. De madera. Envase con 150 a 750 piezas.</v>
          </cell>
          <cell r="U1503">
            <v>286</v>
          </cell>
          <cell r="V1503">
            <v>713</v>
          </cell>
        </row>
        <row r="1504">
          <cell r="A1504">
            <v>1501</v>
          </cell>
          <cell r="B1504" t="str">
            <v>060.082.0104</v>
          </cell>
          <cell r="E1504" t="str">
            <v>Aplicadores. Con algodón. De madera. Envase con 150 a 750 piezas.</v>
          </cell>
          <cell r="U1504">
            <v>115986</v>
          </cell>
          <cell r="V1504">
            <v>289963</v>
          </cell>
        </row>
        <row r="1505">
          <cell r="A1505">
            <v>1502</v>
          </cell>
          <cell r="B1505" t="str">
            <v>060.082.0278</v>
          </cell>
          <cell r="E1505" t="str">
            <v>APLICADORES. APLICADOR DE MADERA PLÁSTICO O MATERIAL RECICLABLE DE 15 CM DE LONGITUD CON PUNTA DE ALGODÓN. ESTÉRILES Y DESECHABLES. ENVASE CON DOS O TRES APLICADORES.</v>
          </cell>
          <cell r="U1505">
            <v>440272</v>
          </cell>
          <cell r="V1505">
            <v>1100680</v>
          </cell>
        </row>
        <row r="1506">
          <cell r="A1506">
            <v>1503</v>
          </cell>
          <cell r="B1506" t="str">
            <v>060.082.0286</v>
          </cell>
          <cell r="E1506" t="str">
            <v>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EXTRAFINO.</v>
          </cell>
          <cell r="U1506">
            <v>24140</v>
          </cell>
          <cell r="V1506">
            <v>60346</v>
          </cell>
        </row>
        <row r="1507">
          <cell r="A1507">
            <v>1504</v>
          </cell>
          <cell r="B1507" t="str">
            <v>060.082.0294</v>
          </cell>
          <cell r="E1507" t="str">
            <v>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FINO.</v>
          </cell>
          <cell r="U1507">
            <v>111838</v>
          </cell>
          <cell r="V1507">
            <v>279592</v>
          </cell>
        </row>
        <row r="1508">
          <cell r="A1508">
            <v>1505</v>
          </cell>
          <cell r="B1508" t="str">
            <v>060.082.0302</v>
          </cell>
          <cell r="E1508" t="str">
            <v>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MEDIANO.</v>
          </cell>
          <cell r="U1508">
            <v>15520</v>
          </cell>
          <cell r="V1508">
            <v>38796</v>
          </cell>
        </row>
        <row r="1509">
          <cell r="A1509">
            <v>1506</v>
          </cell>
          <cell r="B1509" t="str">
            <v>060.082.0310</v>
          </cell>
          <cell r="E1509" t="str">
            <v>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GRUESO.</v>
          </cell>
          <cell r="U1509">
            <v>8147</v>
          </cell>
          <cell r="V1509">
            <v>20365</v>
          </cell>
        </row>
        <row r="1510">
          <cell r="A1510">
            <v>1507</v>
          </cell>
          <cell r="B1510" t="str">
            <v>060.088.0017</v>
          </cell>
          <cell r="E1510" t="str">
            <v>Apósitos. Transparente, microporoso, autoadherible, estéril y desechable. Medidas: 7.0 a 8.5 x 5.08 a 6.0 cm. Envase con 50 piezas.</v>
          </cell>
          <cell r="U1510">
            <v>493294</v>
          </cell>
          <cell r="V1510">
            <v>1233235</v>
          </cell>
        </row>
        <row r="1511">
          <cell r="A1511">
            <v>1508</v>
          </cell>
          <cell r="B1511" t="str">
            <v>060.088.0025</v>
          </cell>
          <cell r="E1511" t="str">
            <v>Apósitos. Transparente, microporoso, autoadherible, estéril y desechable. Medidas: 10.0 a 10.16 x 12.0 a 14.0 cm. Envase con 50 piezas.</v>
          </cell>
          <cell r="U1511">
            <v>258870</v>
          </cell>
          <cell r="V1511">
            <v>647173</v>
          </cell>
        </row>
        <row r="1512">
          <cell r="A1512">
            <v>1509</v>
          </cell>
          <cell r="B1512" t="str">
            <v>060.088.0058</v>
          </cell>
          <cell r="E1512" t="str">
            <v>Apósitos. Combinados. De celulosa con tela no tejida. Medidas: 20 x 8 cm. Envase con 200 piezas. Pieza.</v>
          </cell>
          <cell r="U1512">
            <v>46635</v>
          </cell>
          <cell r="V1512">
            <v>116586</v>
          </cell>
        </row>
        <row r="1513">
          <cell r="A1513">
            <v>1510</v>
          </cell>
          <cell r="B1513" t="str">
            <v>060.088.0108</v>
          </cell>
          <cell r="E1513" t="str">
            <v>Apósitos. Combinados. De celulosa con tela no tejida. Medidas: 20 x 13 cm. Envase con 150 piezas. Pieza.</v>
          </cell>
          <cell r="U1513">
            <v>54154</v>
          </cell>
          <cell r="V1513">
            <v>135383</v>
          </cell>
        </row>
        <row r="1514">
          <cell r="A1514">
            <v>1511</v>
          </cell>
          <cell r="B1514" t="str">
            <v>060.088.0504</v>
          </cell>
          <cell r="E1514" t="str">
            <v>Apósitos. Con petrolato. Medidas: 10 x 10 cm. Envase individual. Pieza.</v>
          </cell>
          <cell r="U1514">
            <v>976331</v>
          </cell>
          <cell r="V1514">
            <v>2440824</v>
          </cell>
        </row>
        <row r="1515">
          <cell r="A1515">
            <v>1512</v>
          </cell>
          <cell r="B1515" t="str">
            <v>060.088.0652</v>
          </cell>
          <cell r="E1515" t="str">
            <v>Apósitos. Hidrocoloides para el tratamiento de heridas extradelgado autoadherible. Estéril. Tamaño: de 10.0 cm ± 0.6 cm x 10.0 cm ± 0.6 cm. Pieza.</v>
          </cell>
          <cell r="U1515">
            <v>263767</v>
          </cell>
          <cell r="V1515">
            <v>659417</v>
          </cell>
        </row>
        <row r="1516">
          <cell r="A1516">
            <v>1513</v>
          </cell>
          <cell r="B1516" t="str">
            <v>060.088.0660</v>
          </cell>
          <cell r="E1516" t="str">
            <v>Apósitos. Hidrocoloides con bordes autoadheribles con o sin capa externa de espuma de poliuretano o cloruro de polivinilo con grosor mínimo de 2 mm. Estéril. Tamaño: de 15.0 cm ± 3.0 cm x 16.0 cm ± 4.0 cm. Pieza.</v>
          </cell>
          <cell r="U1516">
            <v>156336</v>
          </cell>
          <cell r="V1516">
            <v>390838</v>
          </cell>
        </row>
        <row r="1517">
          <cell r="A1517">
            <v>1514</v>
          </cell>
          <cell r="B1517" t="str">
            <v>060.088.0678</v>
          </cell>
          <cell r="E1517" t="str">
            <v>Apósitos. Hidrocoloides para el tratamiento de heridas. Estéril. Tamaño: De 15 a 21 cm x 15 a 21 cm. Pieza.</v>
          </cell>
          <cell r="U1517">
            <v>142415</v>
          </cell>
          <cell r="V1517">
            <v>356035</v>
          </cell>
        </row>
        <row r="1518">
          <cell r="A1518">
            <v>1515</v>
          </cell>
          <cell r="B1518" t="str">
            <v>060.088.0686</v>
          </cell>
          <cell r="E1518" t="str">
            <v>Apósitos. Absorbentes a base de alginato de calcio y sodio de origen natural. Estéril. Tamaño: De 9.0 cm ± 2.0 cm x 10.0 cm ± 2.0 cm. Pieza.</v>
          </cell>
          <cell r="U1518">
            <v>95837</v>
          </cell>
          <cell r="V1518">
            <v>239592</v>
          </cell>
        </row>
        <row r="1519">
          <cell r="A1519">
            <v>1516</v>
          </cell>
          <cell r="B1519" t="str">
            <v>060.088.0694</v>
          </cell>
          <cell r="E1519" t="str">
            <v>Apósitos. Absorbentes a base de alginato de calcio y sodio de origen 
  natural. Estéril. Tamaño: De 10.0 cm ± 2.0 cm x 20.0 cm ± 2.0 cm. Pieza. Pieza.</v>
          </cell>
          <cell r="U1519">
            <v>83094</v>
          </cell>
          <cell r="V1519">
            <v>207733</v>
          </cell>
        </row>
        <row r="1520">
          <cell r="A1520">
            <v>1517</v>
          </cell>
          <cell r="B1520" t="str">
            <v>060.088.0702</v>
          </cell>
          <cell r="E1520" t="str">
            <v>Apósitos. En forma de mecha compuestos por fibras de alginato de calcio y sodio de origen natural. Estéril. Tamaño: de 30 cm ± 0.5 cm (2 g). Pieza.</v>
          </cell>
          <cell r="U1520">
            <v>16835</v>
          </cell>
          <cell r="V1520">
            <v>42085</v>
          </cell>
        </row>
        <row r="1521">
          <cell r="A1521">
            <v>1518</v>
          </cell>
          <cell r="B1521" t="str">
            <v>060.088.0710</v>
          </cell>
          <cell r="E1521" t="str">
            <v>Apósitos. De nylon trenzado y sellado al calor que contiene un tejido de carbón activado impregnado con plata. 10.5 x 10.5 cm. Pieza.</v>
          </cell>
          <cell r="U1521">
            <v>29147</v>
          </cell>
          <cell r="V1521">
            <v>72865</v>
          </cell>
        </row>
        <row r="1522">
          <cell r="A1522">
            <v>1519</v>
          </cell>
          <cell r="B1522" t="str">
            <v>060.088.0728</v>
          </cell>
          <cell r="E1522" t="str">
            <v>Apósitos. De nylon trenzado y sellado al calor que contiene un tejido de carbón activado impregnado con plata. 10.5 x 19 cm. Pieza.</v>
          </cell>
          <cell r="U1522">
            <v>30981</v>
          </cell>
          <cell r="V1522">
            <v>77452</v>
          </cell>
        </row>
        <row r="1523">
          <cell r="A1523">
            <v>1520</v>
          </cell>
          <cell r="B1523" t="str">
            <v>060.088.0736</v>
          </cell>
          <cell r="E1523" t="str">
            <v>Apósitos. De hidrogel con alantoína al 0.6% y colágeno para humectación y regeneración de tejido. Envase con 30 g. Pieza.</v>
          </cell>
          <cell r="U1523">
            <v>8464</v>
          </cell>
          <cell r="V1523">
            <v>21159</v>
          </cell>
        </row>
        <row r="1524">
          <cell r="A1524">
            <v>1521</v>
          </cell>
          <cell r="B1524" t="str">
            <v>060.088.0744</v>
          </cell>
          <cell r="E1524" t="str">
            <v>Apósitos. De hidrogel con alantoína al 0.6% y colágeno para humectación y regeneración de tejido. Envase con 90 g. Pieza.</v>
          </cell>
          <cell r="U1524">
            <v>6155</v>
          </cell>
          <cell r="V1524">
            <v>15385</v>
          </cell>
        </row>
        <row r="1525">
          <cell r="A1525">
            <v>1522</v>
          </cell>
          <cell r="B1525" t="str">
            <v>060.088.0751</v>
          </cell>
          <cell r="E1525" t="str">
            <v>APÓSITOS. DE HIDROGEL CON ALGINATO SÓDICO PARA GRANULACIÓN Y EPITELIZACIÓN. 9.5 X 9.5 CM. PIEZA.</v>
          </cell>
          <cell r="U1525">
            <v>7002</v>
          </cell>
          <cell r="V1525">
            <v>17502</v>
          </cell>
        </row>
        <row r="1526">
          <cell r="A1526">
            <v>1523</v>
          </cell>
          <cell r="B1526" t="str">
            <v>060.088.0769</v>
          </cell>
          <cell r="E1526" t="str">
            <v>Apósitos. De hidrogel con alginato sódico para granulación y epitelización. 15 x 20 cm. Pieza.</v>
          </cell>
          <cell r="U1526">
            <v>8462</v>
          </cell>
          <cell r="V1526">
            <v>21153</v>
          </cell>
        </row>
        <row r="1527">
          <cell r="A1527">
            <v>1524</v>
          </cell>
          <cell r="B1527" t="str">
            <v>060.088.0777</v>
          </cell>
          <cell r="E1527" t="str">
            <v>Apósitos. Con 80% a 90% de colágeno y 10 a 20% de alginato. Medida de 10 a 10.2 cm x 11 a 11.25 cm. Pieza.</v>
          </cell>
          <cell r="U1527">
            <v>18792</v>
          </cell>
          <cell r="V1527">
            <v>46980</v>
          </cell>
        </row>
        <row r="1528">
          <cell r="A1528">
            <v>1525</v>
          </cell>
          <cell r="B1528" t="str">
            <v>060.088.0785</v>
          </cell>
          <cell r="E1528" t="str">
            <v>Apósitos. De hidropolímero para tratamiento de heridas. 5 a 7 cm x 9 a 10 cm. Pieza.</v>
          </cell>
          <cell r="U1528">
            <v>17557</v>
          </cell>
          <cell r="V1528">
            <v>43891</v>
          </cell>
        </row>
        <row r="1529">
          <cell r="A1529">
            <v>1526</v>
          </cell>
          <cell r="B1529" t="str">
            <v>060.088.0793</v>
          </cell>
          <cell r="E1529" t="str">
            <v>Apósitos. De hidropolímero para tratamiento de heridas. 10 a 11 cm x 11 a 16 cm. Pieza.</v>
          </cell>
          <cell r="U1529">
            <v>16972</v>
          </cell>
          <cell r="V1529">
            <v>42430</v>
          </cell>
        </row>
        <row r="1530">
          <cell r="A1530">
            <v>1527</v>
          </cell>
          <cell r="B1530" t="str">
            <v>060.088.0801</v>
          </cell>
          <cell r="E1530" t="str">
            <v>Apósitos. De hidropolímero para tratamiento de heridas. 15 a 20 cm x 15 a 20 cm. Pieza</v>
          </cell>
          <cell r="U1530">
            <v>29286</v>
          </cell>
          <cell r="V1530">
            <v>73213</v>
          </cell>
        </row>
        <row r="1531">
          <cell r="A1531">
            <v>1528</v>
          </cell>
          <cell r="B1531" t="str">
            <v>060.088.0819</v>
          </cell>
          <cell r="E1531" t="str">
            <v>Apósitos. De hidropolímero con diseño anatómico para la zona sacral 
  para tratamiento de heridas. 10 a 18 cm x 12 a 18 cm. Pieza.</v>
          </cell>
          <cell r="U1531">
            <v>24446</v>
          </cell>
          <cell r="V1531">
            <v>61114</v>
          </cell>
        </row>
        <row r="1532">
          <cell r="A1532">
            <v>1529</v>
          </cell>
          <cell r="B1532" t="str">
            <v>060.088.0827</v>
          </cell>
          <cell r="E1532" t="str">
            <v>APOSITOS. CON BARRERA ANTIMICROBIANA. ESTERIL Y DESECHABLE. 10 CM X 10 CM A 20CM. ENVASE CON 12 PIEZAS.</v>
          </cell>
          <cell r="U1532">
            <v>14666</v>
          </cell>
          <cell r="V1532">
            <v>36664</v>
          </cell>
        </row>
        <row r="1533">
          <cell r="A1533">
            <v>1530</v>
          </cell>
          <cell r="B1533" t="str">
            <v>060.088.0835</v>
          </cell>
          <cell r="E1533" t="str">
            <v>APOSITOS. CON BARRERA ANTIMICROBIANA. ESTERIL Y DESECHABLE. 40 CM X 20 CM A 40CM. ENVASE CON 6 PIEZAS.</v>
          </cell>
          <cell r="U1533">
            <v>11868</v>
          </cell>
          <cell r="V1533">
            <v>29670</v>
          </cell>
        </row>
        <row r="1534">
          <cell r="A1534">
            <v>1531</v>
          </cell>
          <cell r="B1534" t="str">
            <v>060.088.0843</v>
          </cell>
          <cell r="E1534" t="str">
            <v>Apósitos. Hidrocelular de poliuretano con adhesivo para el tratamiento de heridas. Estéril y desechable. Tamaños: 7.5 x 7.5 cm. Pieza.</v>
          </cell>
          <cell r="U1534">
            <v>64052</v>
          </cell>
          <cell r="V1534">
            <v>160128</v>
          </cell>
        </row>
        <row r="1535">
          <cell r="A1535">
            <v>1532</v>
          </cell>
          <cell r="B1535" t="str">
            <v>060.088.0850</v>
          </cell>
          <cell r="E1535" t="str">
            <v>Apósitos. Hidrocelular de poliuretano con adhesivo para el tratamiento de heridas. Estéril y desechable. Tamaños: 12.5 x 12.5 cm. Pieza.</v>
          </cell>
          <cell r="U1535">
            <v>56117</v>
          </cell>
          <cell r="V1535">
            <v>140290</v>
          </cell>
        </row>
        <row r="1536">
          <cell r="A1536">
            <v>1533</v>
          </cell>
          <cell r="B1536" t="str">
            <v>060.088.0868</v>
          </cell>
          <cell r="E1536" t="str">
            <v>Apósitos. Hidrocelular de poliuretano con adhesivo para el tratamiento de heridas. Estéril y desechable. Tamaños: 22.0 x 22.0 cm. Pieza.</v>
          </cell>
          <cell r="U1536">
            <v>35478</v>
          </cell>
          <cell r="V1536">
            <v>88694</v>
          </cell>
        </row>
        <row r="1537">
          <cell r="A1537">
            <v>1534</v>
          </cell>
          <cell r="B1537" t="str">
            <v>060.088.0876</v>
          </cell>
          <cell r="E1537" t="str">
            <v>APÓSITOS. HIDROCELULAR DE POLIURETANO SIN ADHESIVO PARA EL TRATAMIENTO DE HERIDAS. ESTÉRIL Y DESECHABLE. TAMAÑOS: 10.0 X 10.0 CM. PIEZA.</v>
          </cell>
          <cell r="U1537">
            <v>33897</v>
          </cell>
          <cell r="V1537">
            <v>84741</v>
          </cell>
        </row>
        <row r="1538">
          <cell r="A1538">
            <v>1535</v>
          </cell>
          <cell r="B1538" t="str">
            <v>060.088.0884</v>
          </cell>
          <cell r="E1538" t="str">
            <v>Apósitos. Hidrocelular de poliuretano sin adhesivo para el tratamiento de heridas. Estéril y desechable. Tamaños: 15.0 x 15.0 cm. Pieza.</v>
          </cell>
          <cell r="U1538">
            <v>28983</v>
          </cell>
          <cell r="V1538">
            <v>72456</v>
          </cell>
        </row>
        <row r="1539">
          <cell r="A1539">
            <v>1536</v>
          </cell>
          <cell r="B1539" t="str">
            <v>060.088.0892</v>
          </cell>
          <cell r="E1539" t="str">
            <v>Apósitos. Hidrocelular de poliuretano con adhesivo para el sacro. Estéril y desechable. Pieza.</v>
          </cell>
          <cell r="U1539">
            <v>38404</v>
          </cell>
          <cell r="V1539">
            <v>96007</v>
          </cell>
        </row>
        <row r="1540">
          <cell r="A1540">
            <v>1537</v>
          </cell>
          <cell r="B1540" t="str">
            <v>060.088.0900</v>
          </cell>
          <cell r="E1540" t="str">
            <v>Apósitos. Hidrocelular de poliuretano sin adhesivo para el talón. Estéril y desechable. Pieza.</v>
          </cell>
          <cell r="U1540">
            <v>90534</v>
          </cell>
          <cell r="V1540">
            <v>226332</v>
          </cell>
        </row>
        <row r="1541">
          <cell r="A1541">
            <v>1538</v>
          </cell>
          <cell r="B1541" t="str">
            <v>060.088.0918</v>
          </cell>
          <cell r="E1541" t="str">
            <v>Apósitos. Transparente microporoso autoadherible estéril y desechable. Con suajado marco de aplicación bordes reforzados y cintas estériles. Medidas: 7.0 x 8.5 cm. Envase con 50 piezas.</v>
          </cell>
          <cell r="U1541">
            <v>30129</v>
          </cell>
          <cell r="V1541">
            <v>75319</v>
          </cell>
        </row>
        <row r="1542">
          <cell r="A1542">
            <v>1539</v>
          </cell>
          <cell r="B1542" t="str">
            <v>060.088.0926</v>
          </cell>
          <cell r="E1542" t="str">
            <v>Apósitos. Transparente microporoso autoadherible estéril y desechable. Con suajado marco de aplicación bordes reforzados y cintas estériles. Medidas: 8.5 x 10.5 cm. Envase con 50 piezas.</v>
          </cell>
          <cell r="U1542">
            <v>17680</v>
          </cell>
          <cell r="V1542">
            <v>44200</v>
          </cell>
        </row>
        <row r="1543">
          <cell r="A1543">
            <v>1540</v>
          </cell>
          <cell r="B1543" t="str">
            <v>060.088.0934</v>
          </cell>
          <cell r="E1543" t="str">
            <v>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Caja con 25 piezas.</v>
          </cell>
          <cell r="U1543">
            <v>61966</v>
          </cell>
          <cell r="V1543">
            <v>154914</v>
          </cell>
        </row>
        <row r="1544">
          <cell r="A1544">
            <v>1541</v>
          </cell>
          <cell r="B1544" t="str">
            <v>060.088.0942</v>
          </cell>
          <cell r="E1544" t="str">
            <v>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v>
          </cell>
          <cell r="U1544">
            <v>31236</v>
          </cell>
          <cell r="V1544">
            <v>78088</v>
          </cell>
        </row>
        <row r="1545">
          <cell r="A1545">
            <v>1542</v>
          </cell>
          <cell r="B1545" t="str">
            <v>060.088.0959</v>
          </cell>
          <cell r="E1545" t="str">
            <v>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10 x 12 cm. 3 x 4 cm. Caja con 25 piezas.</v>
          </cell>
          <cell r="U1545">
            <v>49685</v>
          </cell>
          <cell r="V1545">
            <v>124210</v>
          </cell>
        </row>
        <row r="1546">
          <cell r="A1546">
            <v>1543</v>
          </cell>
          <cell r="B1546" t="str">
            <v>060.088.0967</v>
          </cell>
          <cell r="E1546" t="str">
            <v>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Almohadilla.10 x 15.5 cm. 3 x 7 cm. Caja con 25 piezas.</v>
          </cell>
          <cell r="U1546">
            <v>17634</v>
          </cell>
          <cell r="V1546">
            <v>44082</v>
          </cell>
        </row>
        <row r="1547">
          <cell r="A1547">
            <v>1544</v>
          </cell>
          <cell r="B1547" t="str">
            <v>060.088.0975</v>
          </cell>
          <cell r="E1547" t="str">
            <v>ALMOHADILLAS IMPREGNADAS CON SOLUCIÓN ANTISÉPTICA. APÓSITO DE MALLA FINA (44X36) IMPREGNADA CON PETROLATO BLANCO (VASELINA) Y TRIBROMOFENATO DE BISMUTO AL 3%. ESTÉRIL. 10 X10 CM ENVASE CON 12 PIEZAS</v>
          </cell>
          <cell r="U1547">
            <v>26242</v>
          </cell>
          <cell r="V1547">
            <v>65603</v>
          </cell>
        </row>
        <row r="1548">
          <cell r="A1548">
            <v>1545</v>
          </cell>
          <cell r="B1548" t="str">
            <v>060.088.0983</v>
          </cell>
          <cell r="E1548" t="str">
            <v>ALMOHADILLAS IMPREGNADAS CON SOLUCIÓN ANTISÉPTICA. APÓSITO DE MALLA FINA (44X36) IMPREGNADA CON PETROLATO BLANCO (VASELINA) Y TRIBROMOFENATO DE BISMUTO AL 3%. ESTÉRIL. 12.7 X 22.9 CM ENVASE CON 50 PIEZAS</v>
          </cell>
          <cell r="U1548">
            <v>14318</v>
          </cell>
          <cell r="V1548">
            <v>35793</v>
          </cell>
        </row>
        <row r="1549">
          <cell r="A1549">
            <v>1546</v>
          </cell>
          <cell r="B1549" t="str">
            <v>060.088.0991</v>
          </cell>
          <cell r="E1549" t="str">
            <v>APÓSITOS. CON 80% A 90% DE COLÁGENO Y 10 A 20% DE ALGINATO. MEDIDA DE 5.1 X 5.1 CM. ENVASE CON 12 APÓSITOS.</v>
          </cell>
          <cell r="U1549">
            <v>7252</v>
          </cell>
          <cell r="V1549">
            <v>18126</v>
          </cell>
        </row>
        <row r="1550">
          <cell r="A1550">
            <v>1547</v>
          </cell>
          <cell r="B1550" t="str">
            <v>060.088.1007</v>
          </cell>
          <cell r="E1550" t="str">
            <v>Apósitos. Con 80% a 90% de colágeno y 10 a 20% de alginato. Medida de 10 a 10.2 cm. x 11 a 11.25 cm. Envase con 12 apósitos.</v>
          </cell>
          <cell r="U1550">
            <v>10737</v>
          </cell>
          <cell r="V1550">
            <v>26840</v>
          </cell>
        </row>
        <row r="1551">
          <cell r="A1551">
            <v>1548</v>
          </cell>
          <cell r="B1551" t="str">
            <v>060.088.1015</v>
          </cell>
          <cell r="E1551" t="str">
            <v>APÓSITOS. CON 80% A 90% DE COLÁGENO Y 10 A 20% DE ALGINATO. MEDIDA DE 10.2 CM. X 22.5 CM. ENVASE CON 6 APÓSITOS.</v>
          </cell>
          <cell r="U1551">
            <v>5280</v>
          </cell>
          <cell r="V1551">
            <v>13197</v>
          </cell>
        </row>
        <row r="1552">
          <cell r="A1552">
            <v>1549</v>
          </cell>
          <cell r="B1552" t="str">
            <v>060.088.1023</v>
          </cell>
          <cell r="E1552" t="str">
            <v>APÓSITOS. CON 80% A 90% DE COLÁGENO Y 10 A 20% DE ALGINATO. MEDIDA DE 1 CM. X 1 CM. X 40 CM. ENVASE CON 6 APÓSITOS.</v>
          </cell>
          <cell r="U1552">
            <v>4040</v>
          </cell>
          <cell r="V1552">
            <v>10099</v>
          </cell>
        </row>
        <row r="1553">
          <cell r="A1553">
            <v>1550</v>
          </cell>
          <cell r="B1553" t="str">
            <v>060.088.1032</v>
          </cell>
          <cell r="E1553" t="str">
            <v>APÓSITOS DE NYLON TRENZADO Y SELLADO AL CALOR QUE CONTIENE UN TEJIDO DE CARBÓN ACTIVADO IMPREGNADO CON PLATA. PIEZA.6.5 X 9.5 CM.ENVASE CON 10 SOBRES INDIVIDUALES ESTÉRILES.</v>
          </cell>
          <cell r="U1553">
            <v>80</v>
          </cell>
          <cell r="V1553">
            <v>200</v>
          </cell>
        </row>
        <row r="1554">
          <cell r="A1554">
            <v>1551</v>
          </cell>
          <cell r="B1554" t="str">
            <v>060.088.1049</v>
          </cell>
          <cell r="E1554" t="str">
            <v>APÓSITOS. DE HIDROPOLÍMERO CON DISEÑO ANATÓMICO PARA LA ZONA SACRAL PARA TRATAMIENTO DE HERIDAS. 11 X 11 CM. ENVASE CON 10 APÓSITOS.</v>
          </cell>
          <cell r="U1554">
            <v>6625</v>
          </cell>
          <cell r="V1554">
            <v>16561</v>
          </cell>
        </row>
        <row r="1555">
          <cell r="A1555">
            <v>1552</v>
          </cell>
          <cell r="B1555" t="str">
            <v>060.088.1056</v>
          </cell>
          <cell r="E1555" t="str">
            <v>APÓSITOS. DE HIDROPOLÍMERO CON DISEÑO ANATÓMICO PARA LA ZONA SACRAL PARA TRATAMIENTO DE HERIDAS. 15 X 20 CM. ENVASE CON 5 APÓSITOS.</v>
          </cell>
          <cell r="U1555">
            <v>8832</v>
          </cell>
          <cell r="V1555">
            <v>22079</v>
          </cell>
        </row>
        <row r="1556">
          <cell r="A1556">
            <v>1553</v>
          </cell>
          <cell r="B1556" t="str">
            <v>060.088.1064</v>
          </cell>
          <cell r="E1556" t="str">
            <v>APÓSITOS. DE HIDROPOLÍMERO CON DISEÑO ANATÓMICO PARA LA ZONA SACRAL PARA TRATAMIENTO DE HERIDAS. 15 X 15 CM. ENVASE CON 10 APÓSITOS</v>
          </cell>
          <cell r="U1556">
            <v>9235</v>
          </cell>
          <cell r="V1556">
            <v>23087</v>
          </cell>
        </row>
        <row r="1557">
          <cell r="A1557">
            <v>1554</v>
          </cell>
          <cell r="B1557" t="str">
            <v>060.088.1072</v>
          </cell>
          <cell r="E1557" t="str">
            <v>APÓSITOS. DE HIDROPOLÍMERO CON DISEÑO ANATÓMICO PARA LA ZONA SACRAL PARA TRATAMIENTO DE HERIDAS. 20 X 26.5 CM. ENVASE CON 5 APÓSITOS.</v>
          </cell>
          <cell r="U1557">
            <v>10017</v>
          </cell>
          <cell r="V1557">
            <v>25041</v>
          </cell>
        </row>
        <row r="1558">
          <cell r="A1558">
            <v>1555</v>
          </cell>
          <cell r="B1558" t="str">
            <v>060.088.1080</v>
          </cell>
          <cell r="E1558" t="str">
            <v>MEMBRANA ABSORBIBLE PARA HERIDAS EPIDÉRMICAS Y DÉRMICAS. MEMBRANA SINTÉTICA MICROPOROSA, ABSORBIBLE, DE UN SOLO USO. FORMADA POR UN CO-POLÍMERO (TER-POLÍMERO) QUE CONSISTE DE ÁCIDOS POLIHIDROXICARBOXÍLICOS ALIFÁTICOS ABSORBIBLES Y UN POLICARBONATO ALIFÁTICO. ESTÉRIL. TAMAÑO: 5 CM X 5 CM ENVASE CON 5 MEMBRANAS</v>
          </cell>
          <cell r="U1558">
            <v>6040</v>
          </cell>
          <cell r="V1558">
            <v>15097</v>
          </cell>
        </row>
        <row r="1559">
          <cell r="A1559">
            <v>1556</v>
          </cell>
          <cell r="B1559" t="str">
            <v>060.088.1098</v>
          </cell>
          <cell r="E1559" t="str">
            <v>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1 MEMBRANA</v>
          </cell>
          <cell r="U1559">
            <v>12802</v>
          </cell>
          <cell r="V1559">
            <v>32002</v>
          </cell>
        </row>
        <row r="1560">
          <cell r="A1560">
            <v>1557</v>
          </cell>
          <cell r="B1560" t="str">
            <v>060.088.1106</v>
          </cell>
          <cell r="E1560" t="str">
            <v>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5 MEMBRANAS</v>
          </cell>
          <cell r="U1560">
            <v>3618</v>
          </cell>
          <cell r="V1560">
            <v>9043</v>
          </cell>
        </row>
        <row r="1561">
          <cell r="A1561">
            <v>1558</v>
          </cell>
          <cell r="B1561" t="str">
            <v>060.088.1114</v>
          </cell>
          <cell r="E1561" t="str">
            <v>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1 MEMBRANA</v>
          </cell>
          <cell r="U1561">
            <v>7651</v>
          </cell>
          <cell r="V1561">
            <v>19125</v>
          </cell>
        </row>
        <row r="1562">
          <cell r="A1562">
            <v>1559</v>
          </cell>
          <cell r="B1562" t="str">
            <v>060.088.1122</v>
          </cell>
          <cell r="E1562" t="str">
            <v>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5 MEMBRANAS</v>
          </cell>
          <cell r="U1562">
            <v>4138</v>
          </cell>
          <cell r="V1562">
            <v>10342</v>
          </cell>
        </row>
        <row r="1563">
          <cell r="A1563">
            <v>1560</v>
          </cell>
          <cell r="B1563" t="str">
            <v>060.088.1130</v>
          </cell>
          <cell r="E1563" t="str">
            <v>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1 MEMBRANA</v>
          </cell>
          <cell r="U1563">
            <v>9665</v>
          </cell>
          <cell r="V1563">
            <v>24161</v>
          </cell>
        </row>
        <row r="1564">
          <cell r="A1564">
            <v>1561</v>
          </cell>
          <cell r="B1564" t="str">
            <v>060.088.1148</v>
          </cell>
          <cell r="E1564" t="str">
            <v>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5 MEMBRANAS</v>
          </cell>
          <cell r="U1564">
            <v>3615</v>
          </cell>
          <cell r="V1564">
            <v>9035</v>
          </cell>
        </row>
        <row r="1565">
          <cell r="A1565">
            <v>1562</v>
          </cell>
          <cell r="B1565" t="str">
            <v>060.100.0011</v>
          </cell>
          <cell r="E1565" t="str">
            <v>BABEROS. DE TELA NO TEJIDA DE RAYON. ANATOMICO AUTOAJUSTABLE DESECHABLE. TAMAÑO:ADULTO. PIEZA.</v>
          </cell>
          <cell r="U1565">
            <v>2568024</v>
          </cell>
          <cell r="V1565">
            <v>6420057</v>
          </cell>
        </row>
        <row r="1566">
          <cell r="A1566">
            <v>1563</v>
          </cell>
          <cell r="B1566" t="str">
            <v>060.110.0068</v>
          </cell>
          <cell r="E1566" t="str">
            <v>Balones. Intraaórtico    de    contrapulsación. Para aplicación percutánea. Volúmenes de: 30 -34 ml. Pieza.</v>
          </cell>
          <cell r="U1566">
            <v>94</v>
          </cell>
          <cell r="V1566">
            <v>234</v>
          </cell>
        </row>
        <row r="1567">
          <cell r="A1567">
            <v>1564</v>
          </cell>
          <cell r="B1567" t="str">
            <v>060.110.0076</v>
          </cell>
          <cell r="E1567" t="str">
            <v>Balones. Intraaórtico    de    contrapulsación. Para aplicación percutánea. Volúmenes de: 40 ml. Pieza.</v>
          </cell>
          <cell r="U1567">
            <v>77</v>
          </cell>
          <cell r="V1567">
            <v>190</v>
          </cell>
        </row>
        <row r="1568">
          <cell r="A1568">
            <v>1565</v>
          </cell>
          <cell r="B1568" t="str">
            <v>060.113.0057</v>
          </cell>
          <cell r="E1568" t="str">
            <v>BARRAS. BARRA METÁLICA DE ERICK. PARA FERULIZACIÓN INTERDENTARIA. ROLLO DE 1 M.</v>
          </cell>
          <cell r="U1568">
            <v>963</v>
          </cell>
          <cell r="V1568">
            <v>2404</v>
          </cell>
        </row>
        <row r="1569">
          <cell r="A1569">
            <v>1566</v>
          </cell>
          <cell r="B1569" t="str">
            <v>060.116.0021</v>
          </cell>
          <cell r="E1569" t="str">
            <v>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v>
          </cell>
          <cell r="U1569">
            <v>963564</v>
          </cell>
          <cell r="V1569">
            <v>2408909</v>
          </cell>
        </row>
        <row r="1570">
          <cell r="A1570">
            <v>1567</v>
          </cell>
          <cell r="B1570" t="str">
            <v>060.118.0052</v>
          </cell>
          <cell r="E1570" t="str">
            <v>BIBERONES. DE VIDRIO CON MAMILA TAPA DE ROSCA CAPUCHÓN PROTECTOR. CAPACIDAD: 120 ML. PIEZA.</v>
          </cell>
          <cell r="U1570">
            <v>2429</v>
          </cell>
          <cell r="V1570">
            <v>6072</v>
          </cell>
        </row>
        <row r="1571">
          <cell r="A1571">
            <v>1568</v>
          </cell>
          <cell r="B1571" t="str">
            <v>060.118.0102</v>
          </cell>
          <cell r="E1571" t="str">
            <v>BIBERONES. DE VIDRIO CON MAMILA TAPA DE ROSCA CAPUCHÓN PROTECTOR. CAPACIDAD: 240 ML. PIEZA.</v>
          </cell>
          <cell r="U1571">
            <v>1215</v>
          </cell>
          <cell r="V1571">
            <v>3036</v>
          </cell>
        </row>
        <row r="1572">
          <cell r="A1572">
            <v>1569</v>
          </cell>
          <cell r="B1572" t="str">
            <v>060.125.0038</v>
          </cell>
          <cell r="E1572" t="str">
            <v>Bolsas. 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v>
          </cell>
          <cell r="U1572">
            <v>116055</v>
          </cell>
          <cell r="V1572">
            <v>290136</v>
          </cell>
        </row>
        <row r="1573">
          <cell r="A1573">
            <v>1570</v>
          </cell>
          <cell r="B1573" t="str">
            <v>060.125.0228</v>
          </cell>
          <cell r="E1573" t="str">
            <v>Bolsas. Para urocultivo (niño). Estéril, de plástico grado médico, forma rectangular, con capacidad de 50 ml y escala de 10, 20, 30 y 50 ml, con orificio redondo de 30 mm, área adhesiva. De 45 x 60 mm. Pieza.</v>
          </cell>
          <cell r="U1573">
            <v>1663718</v>
          </cell>
          <cell r="V1573">
            <v>4159293</v>
          </cell>
        </row>
        <row r="1574">
          <cell r="A1574">
            <v>1571</v>
          </cell>
          <cell r="B1574" t="str">
            <v>060.125.0236</v>
          </cell>
          <cell r="E1574" t="str">
            <v>Bolsas. Para enema. Capacidad 1500 ml con tubo transportador de 5.0 a 6.0 mm de diámetro interno 128 cm de longitud y dispositivo obturador de plástico para control de flujo. El extremo proximal debe tener la punta roma sin filos un orificio lateral cercano a la punta lubricante y protector plástico. Desechable. Pieza.</v>
          </cell>
          <cell r="U1574">
            <v>337691</v>
          </cell>
          <cell r="V1574">
            <v>844226</v>
          </cell>
        </row>
        <row r="1575">
          <cell r="A1575">
            <v>1572</v>
          </cell>
          <cell r="B1575" t="str">
            <v>060.125.0244</v>
          </cell>
          <cell r="E1575" t="str">
            <v>Bolsas. Para urocultivo (niña). Estéril, de plástico grado médico, forma rectangular, con capacidad de 50 ml y escala de 10, 20, 30 y 50 ml. Con orificio en forma de pera, 2.5 cm en su lado más ancho y 1 cm en el más angosto. Área adhesiva de 45 x 60 mm. Pieza.</v>
          </cell>
          <cell r="U1575">
            <v>991235</v>
          </cell>
          <cell r="V1575">
            <v>2478085</v>
          </cell>
        </row>
        <row r="1576">
          <cell r="A1576">
            <v>1573</v>
          </cell>
          <cell r="B1576" t="str">
            <v>060.125.0582</v>
          </cell>
          <cell r="E1576" t="str">
            <v>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v>
          </cell>
          <cell r="U1576">
            <v>2201291</v>
          </cell>
          <cell r="V1576">
            <v>5503226</v>
          </cell>
        </row>
        <row r="1577">
          <cell r="A1577">
            <v>1574</v>
          </cell>
          <cell r="B1577" t="str">
            <v>060.125.0590</v>
          </cell>
          <cell r="E1577" t="str">
            <v>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v>
          </cell>
          <cell r="U1577">
            <v>166120</v>
          </cell>
          <cell r="V1577">
            <v>415297</v>
          </cell>
        </row>
        <row r="1578">
          <cell r="A1578">
            <v>1575</v>
          </cell>
          <cell r="B1578" t="str">
            <v>060.125.1861</v>
          </cell>
          <cell r="E1578" t="str">
            <v>Bolsas. Bolsa de papel grado médico con porosidad controlada hidrófugo para esterilizar con gas o vapor. Con o sin tratamiento antibacteriano con reactivo químico impreso y película plástica transparente termosoldable de: 7.5 x 28.0 cm. Envase con 1000 piezas.</v>
          </cell>
          <cell r="U1578">
            <v>15852</v>
          </cell>
          <cell r="V1578">
            <v>39629</v>
          </cell>
        </row>
        <row r="1579">
          <cell r="A1579">
            <v>1576</v>
          </cell>
          <cell r="B1579" t="str">
            <v>060.125.1879</v>
          </cell>
          <cell r="E1579" t="str">
            <v>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v>
          </cell>
          <cell r="U1579">
            <v>2596944</v>
          </cell>
          <cell r="V1579">
            <v>6492360</v>
          </cell>
        </row>
        <row r="1580">
          <cell r="A1580">
            <v>1577</v>
          </cell>
          <cell r="B1580" t="str">
            <v>060.125.1887</v>
          </cell>
          <cell r="E1580" t="str">
            <v>Bolsas. Bolsa de papel grado médico con porosidad controlada hidrófugo para esterilizar con gas o vapor. Con o sin tratamiento antibacteriano con reactivo químico impreso y película plástica transparente termosoldable de: 10.0 x 42.0 cm. Envase con 1000 piezas.</v>
          </cell>
          <cell r="U1580">
            <v>49649</v>
          </cell>
          <cell r="V1580">
            <v>124121</v>
          </cell>
        </row>
        <row r="1581">
          <cell r="A1581">
            <v>1578</v>
          </cell>
          <cell r="B1581" t="str">
            <v>060.125.1895</v>
          </cell>
          <cell r="E1581" t="str">
            <v>Bolsas. Bolsa de papel grado médico con porosidad controlada hidrófugo para esterilizar con gas o vapor. Con o sin tratamiento antibacteriano con reactivo químico impreso y película plástica transparente termosoldable de: 25.0 x 36.0 cm. Envase con 1000 piezas.</v>
          </cell>
          <cell r="U1581">
            <v>12664</v>
          </cell>
          <cell r="V1581">
            <v>31660</v>
          </cell>
        </row>
        <row r="1582">
          <cell r="A1582">
            <v>1579</v>
          </cell>
          <cell r="B1582" t="str">
            <v>060.125.1929</v>
          </cell>
          <cell r="E1582" t="str">
            <v>Bolsas. Bolsa de papel grado médico con porosidad controlada hidrófugo para esterilizar con gas o vapor. Con o sin tratamiento antibacteriano con reactivo químico impreso y película plástica transparente termosoldable de: 40.0 x 58.0 cm. Envase con 250 piezas.</v>
          </cell>
          <cell r="U1582">
            <v>9273</v>
          </cell>
          <cell r="V1582">
            <v>23180</v>
          </cell>
        </row>
        <row r="1583">
          <cell r="A1583">
            <v>1580</v>
          </cell>
          <cell r="B1583" t="str">
            <v>060.125.1937</v>
          </cell>
          <cell r="E1583" t="str">
            <v>BOLSAS. BOLSA DE PAPEL GRADO MEDICO CON POROSIDAD CONTROLADA HIDROFUGO PARAESTERILIZAR CON GAS O VAPOR. CON O SIN TRATAMIENTO ANTIBACTERIANO CON REACTIVOQUIMICO IMPRESO Y PELICULA PLASTICA TRANSPARENTE TERMOSOLDABLE DE: 7.5 X 58.0CM. ENVASE CON 1000 PIEZAS.</v>
          </cell>
          <cell r="U1583">
            <v>375</v>
          </cell>
          <cell r="V1583">
            <v>937</v>
          </cell>
        </row>
        <row r="1584">
          <cell r="A1584">
            <v>1581</v>
          </cell>
          <cell r="B1584" t="str">
            <v>060.125.1945</v>
          </cell>
          <cell r="E1584" t="str">
            <v>Bolsas. Bolsa de papel grado médico con porosidad controlada hidrófugo para esterilizar con gas o vapor. Con o sin tratamiento antibacteriano con reactivo químico impreso y película plástica transparente termosoldable de: 30.0 x 51.0 cm. Envase con 500 piezas.</v>
          </cell>
          <cell r="U1584">
            <v>7119</v>
          </cell>
          <cell r="V1584">
            <v>17795</v>
          </cell>
        </row>
        <row r="1585">
          <cell r="A1585">
            <v>1582</v>
          </cell>
          <cell r="B1585" t="str">
            <v>060.125.1960</v>
          </cell>
          <cell r="E1585" t="str">
            <v>Bolsas. Bolsa de papel grado médico con porosidad controlada hidrófugo para esterilizar con gas o vapor. Con o sin tratamiento antibacteriano con reactivo químico impreso y película plástica transparente termosoldable de: 20.0 x 42.0 cm. Envase con 1000 piezas.</v>
          </cell>
          <cell r="U1585">
            <v>7638</v>
          </cell>
          <cell r="V1585">
            <v>19092</v>
          </cell>
        </row>
        <row r="1586">
          <cell r="A1586">
            <v>1583</v>
          </cell>
          <cell r="B1586" t="str">
            <v>060.125.2505</v>
          </cell>
          <cell r="E1586" t="str">
            <v>Bolsas. Para uso general de polietileno. Biodegradable. Calibre entre 150-200. Para la recolección y desechos de residuos no RPBI. Medidas: 30 x 20 cm. Envase con 100 piezas.</v>
          </cell>
          <cell r="U1586">
            <v>102574</v>
          </cell>
          <cell r="V1586">
            <v>256433</v>
          </cell>
        </row>
        <row r="1587">
          <cell r="A1587">
            <v>1584</v>
          </cell>
          <cell r="B1587" t="str">
            <v>060.125.2653</v>
          </cell>
          <cell r="E1587" t="str">
            <v>Bolsas. Bolsa de papel grado médico. Para esterilizar con gas o vapor. Con o sin tratamiento antibacteriano; con reactivo químico impreso y sistema de apertura. Medidas: 7.5 x 23.0 x 4.0 cm. Envase con 1000 piezas.</v>
          </cell>
          <cell r="U1587">
            <v>82584</v>
          </cell>
          <cell r="V1587">
            <v>206456</v>
          </cell>
        </row>
        <row r="1588">
          <cell r="A1588">
            <v>1585</v>
          </cell>
          <cell r="B1588" t="str">
            <v>060.125.2679</v>
          </cell>
          <cell r="E1588" t="str">
            <v>Bolsas. Bolsa de papel grado médico. Para esterilizar con gas o vapor. Con o sin tratamiento antibacteriano; con reactivo químico impreso y sistema de apertura. Medidas: 12.0 x 26.0 x 4.0 cm. Envase con 1000 piezas.</v>
          </cell>
          <cell r="U1588">
            <v>58565</v>
          </cell>
          <cell r="V1588">
            <v>146412</v>
          </cell>
        </row>
        <row r="1589">
          <cell r="A1589">
            <v>1586</v>
          </cell>
          <cell r="B1589" t="str">
            <v>060.125.2695</v>
          </cell>
          <cell r="E1589" t="str">
            <v>BOLSAS. BOLSA DE PAPEL GRADO MEDICO. PARA ESTERILIZAR CON GAS O VAPOR. CON O SINTRATAMIENTO ANTIBACTERIANO; CON REACTIVO QUIMICO IMPRESO Y SISTEMA DE APERTURA.MEDIDAS: 14.0 X 33.0 X 4.5 CM (CON CARTERA INTEGRADA DE 25 X 30 CM). ENVASE CON1000 PIEZAS.</v>
          </cell>
          <cell r="U1589">
            <v>2577</v>
          </cell>
          <cell r="V1589">
            <v>6439</v>
          </cell>
        </row>
        <row r="1590">
          <cell r="A1590">
            <v>1587</v>
          </cell>
          <cell r="B1590" t="str">
            <v>060.125.2711</v>
          </cell>
          <cell r="E1590" t="str">
            <v>BOLSAS. BOLSA DE PAPEL GRADO MEDICO. PARA ESTERILIZAR CON GAS O VAPOR. CON O SINTRATAMIENTO ANTIBACTERIANO. CON REACTIVO QUIMICO IMPRESO Y SISTEMA DE APERTURA.MEDIDAS: 7.5 X 48.0 X 4.0 CM. ENVASE CON 1000 PIEZAS.</v>
          </cell>
          <cell r="U1590">
            <v>4344</v>
          </cell>
          <cell r="V1590">
            <v>10856</v>
          </cell>
        </row>
        <row r="1591">
          <cell r="A1591">
            <v>1588</v>
          </cell>
          <cell r="B1591" t="str">
            <v>060.125.2760</v>
          </cell>
          <cell r="E1591" t="str">
            <v>Bolsas. Bolsa de papel grado médico. Para esterilizar con gas o vapor. Con o sin tratamiento antibacteriano; con reactivo químico impreso y sistema de apertura. Medidas: 6.0 x 18.0 x 3.0 cm. Envase con 1000 piezas.</v>
          </cell>
          <cell r="U1591">
            <v>36624</v>
          </cell>
          <cell r="V1591">
            <v>91559</v>
          </cell>
        </row>
        <row r="1592">
          <cell r="A1592">
            <v>1589</v>
          </cell>
          <cell r="B1592" t="str">
            <v>060.125.2828</v>
          </cell>
          <cell r="E1592" t="str">
            <v>Bolsas. Bolsa de papel grado médico. Para esterilizar con gas o vapor. Con o sin tratamiento antibacteriano; con reactivo químico impreso y sistema de apertura. Bolsa para esterilización con gas o vapor. Medidas: 9.0 x 12.5 x 5.0 cm. Envase con 1000 piezas.</v>
          </cell>
          <cell r="U1592">
            <v>24100</v>
          </cell>
          <cell r="V1592">
            <v>60249</v>
          </cell>
        </row>
        <row r="1593">
          <cell r="A1593">
            <v>1590</v>
          </cell>
          <cell r="B1593" t="str">
            <v>060.125.2836</v>
          </cell>
          <cell r="E1593" t="str">
            <v>Bolsas. Bolsa de papel grado médico. Para esterilizar con gas o vapor. Con o sin tratamiento antibacteriano; con reactivo químico impreso y sistema de apertura. Medidas: 25 x 38 x 8 cm. Envase con 250 a 500 piezas.</v>
          </cell>
          <cell r="U1593">
            <v>122871</v>
          </cell>
          <cell r="V1593">
            <v>307174</v>
          </cell>
        </row>
        <row r="1594">
          <cell r="A1594">
            <v>1591</v>
          </cell>
          <cell r="B1594" t="str">
            <v>060.125.2844</v>
          </cell>
          <cell r="E1594" t="str">
            <v>Bolsa de papel grado médico para gas o vapor 32.0 x 62.0 x 12.0 cm envase con 250 piezas</v>
          </cell>
          <cell r="U1594">
            <v>35337</v>
          </cell>
          <cell r="V1594">
            <v>88340</v>
          </cell>
        </row>
        <row r="1595">
          <cell r="A1595">
            <v>1592</v>
          </cell>
          <cell r="B1595" t="str">
            <v>060.125.2869</v>
          </cell>
          <cell r="E1595" t="str">
            <v>Bolsas. Bolsa de papel grado médico. Para esterilizar con gas o vapor. Con o sin tratamiento antibacteriano. Con reactivo químico impreso y sistema de apertura. Medidas: 11.0 x 18.0 x 4.0 cm. Envase con 1000 piezas.</v>
          </cell>
          <cell r="U1595">
            <v>15950</v>
          </cell>
          <cell r="V1595">
            <v>39873</v>
          </cell>
        </row>
        <row r="1596">
          <cell r="A1596">
            <v>1593</v>
          </cell>
          <cell r="B1596" t="str">
            <v>060.125.2877</v>
          </cell>
          <cell r="E1596" t="str">
            <v>Bolsas. Bolsa de papel grado médico. Para esterilizar con gas o vapor. Con o sin tratamiento antibacteriano. Con reactivo químico impreso y sistema de apertura. Medidas: 18.0 x 33.0 x 6.0 cm. Envase con 1000 piezas.</v>
          </cell>
          <cell r="U1596">
            <v>61249</v>
          </cell>
          <cell r="V1596">
            <v>153120</v>
          </cell>
        </row>
        <row r="1597">
          <cell r="A1597">
            <v>1594</v>
          </cell>
          <cell r="B1597" t="str">
            <v>060.125.2901</v>
          </cell>
          <cell r="E1597" t="str">
            <v>BOLSAS. DE HULE NATURAL O SINTETICO DE TEXTURA BLANDA O FLEXIBLE, CON TAPONPARA: AGUA CALIENTE (CAPACIDAD 1750 A 2000 ML). PIEZA.</v>
          </cell>
          <cell r="U1597">
            <v>106</v>
          </cell>
          <cell r="V1597">
            <v>263</v>
          </cell>
        </row>
        <row r="1598">
          <cell r="A1598">
            <v>1595</v>
          </cell>
          <cell r="B1598" t="str">
            <v>060.125.2919</v>
          </cell>
          <cell r="E1598" t="str">
            <v>BOLSAS. DE HULE NATURAL O SINTETICO DE TEXTURA BLANDA O FLEXIBLE, CON TAPONPARA: HIELO (CAPACIDAD 1000 G). PIEZA.</v>
          </cell>
          <cell r="U1598">
            <v>149</v>
          </cell>
          <cell r="V1598">
            <v>369</v>
          </cell>
        </row>
        <row r="1599">
          <cell r="A1599">
            <v>1596</v>
          </cell>
          <cell r="B1599" t="str">
            <v>060.125.3230</v>
          </cell>
          <cell r="E1599" t="str">
            <v>Bolsas. Para uso general de polietileno. Biodegradable. Calibre entre 150-200. Para la recolección y desechos de residuos no RPBI. Medidas: 60 x 80 cm. Envase con 100 piezas.</v>
          </cell>
          <cell r="U1599">
            <v>86629</v>
          </cell>
          <cell r="V1599">
            <v>216572</v>
          </cell>
        </row>
        <row r="1600">
          <cell r="A1600">
            <v>1597</v>
          </cell>
          <cell r="B1600" t="str">
            <v>060.125.3545</v>
          </cell>
          <cell r="E1600" t="str">
            <v>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v>
          </cell>
          <cell r="U1600">
            <v>77116</v>
          </cell>
          <cell r="V1600">
            <v>192788</v>
          </cell>
        </row>
        <row r="1601">
          <cell r="A1601">
            <v>1598</v>
          </cell>
          <cell r="B1601" t="str">
            <v>060.125.3602</v>
          </cell>
          <cell r="E1601" t="str">
            <v>Bolsas. Para nutrición enteral estéril con equipo integrado para bomba capacidad de 1000 ml. Pieza.</v>
          </cell>
          <cell r="U1601">
            <v>66372</v>
          </cell>
          <cell r="V1601">
            <v>165927</v>
          </cell>
        </row>
        <row r="1602">
          <cell r="A1602">
            <v>1599</v>
          </cell>
          <cell r="B1602" t="str">
            <v>060.125.3776</v>
          </cell>
          <cell r="E1602" t="str">
            <v>Bolsas. Para ileostomía o colostomía. Tamaño infantil. Autoadherible de plástico grado médico suave transparente a prueba de olor drenable en forma de botella de 23 x 13 cm abierta en su parte más angosta con cuello ancho 5 a 6 cm y 3 a 5 cm de largo con pinza de seguridad o mecanismo de cierre con protector de piel integrado a base de carboximetilcelulosa sódica con adhesivo con guía recortable que permita abrir orificio para el estoma a diferentes medidas que van de 6 a 60 mm la cara interna deberá tener un protector que evite la irritación de la piel. Envase con 10 Piezas.</v>
          </cell>
          <cell r="U1602">
            <v>17769</v>
          </cell>
          <cell r="V1602">
            <v>44419</v>
          </cell>
        </row>
        <row r="1603">
          <cell r="A1603">
            <v>1600</v>
          </cell>
          <cell r="B1603" t="str">
            <v>060.125.3867</v>
          </cell>
          <cell r="E1603" t="str">
            <v>Bolsas. Rollos mixtos de papel y laminado plástico (para esterilizar en gas o vapor) con o sin tratamiento que coadyuve a la formación de una barrera bacteriana con o sin apertura lateral. Ancho: Largo: 7.5 cm. 200 m. Rollo.</v>
          </cell>
          <cell r="U1603">
            <v>2638</v>
          </cell>
          <cell r="V1603">
            <v>6592</v>
          </cell>
        </row>
        <row r="1604">
          <cell r="A1604">
            <v>1601</v>
          </cell>
          <cell r="B1604" t="str">
            <v>060.125.3875</v>
          </cell>
          <cell r="E1604" t="str">
            <v>Bolsas. Rollos mixtos de papel y laminado plástico (para esterilizar en gas o vapor) con o sin tratamiento que coadyuve a la formación de una barrera bacteriana con o sin apertura lateral. Ancho: 15.0 cm. Largo: 200 m. Rollo.</v>
          </cell>
          <cell r="U1604">
            <v>2233</v>
          </cell>
          <cell r="V1604">
            <v>5582</v>
          </cell>
        </row>
        <row r="1605">
          <cell r="A1605">
            <v>1602</v>
          </cell>
          <cell r="B1605" t="str">
            <v>060.125.3883</v>
          </cell>
          <cell r="E1605" t="str">
            <v>Bolsas. Rollos mixtos de papel y laminado plástico (para esterilizar en gas o vapor) con o sin tratamiento que coadyuve a la formación de una barrera bacteriana con o sin apertura lateral. Ancho: 30.0 cm. Largo: 200 m. Rollo.</v>
          </cell>
          <cell r="U1605">
            <v>1744</v>
          </cell>
          <cell r="V1605">
            <v>4356</v>
          </cell>
        </row>
        <row r="1606">
          <cell r="A1606">
            <v>1603</v>
          </cell>
          <cell r="B1606" t="str">
            <v>060.125.3891</v>
          </cell>
          <cell r="E1606" t="str">
            <v>Bolsas. Rollos mixtos de papel y laminado plástico (para esterilizar en gas o vapor) con o sin tratamiento que coadyuve a la formación de una barrera bacteriana con o sin apertura lateral. Ancho: 40.0 cm. Largo: 200 m. Rollo.</v>
          </cell>
          <cell r="U1606">
            <v>1545</v>
          </cell>
          <cell r="V1606">
            <v>3860</v>
          </cell>
        </row>
        <row r="1607">
          <cell r="A1607">
            <v>1604</v>
          </cell>
          <cell r="B1607" t="str">
            <v>060.125.3917</v>
          </cell>
          <cell r="E1607" t="str">
            <v>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v>
          </cell>
          <cell r="U1607">
            <v>36063</v>
          </cell>
          <cell r="V1607">
            <v>90156</v>
          </cell>
        </row>
        <row r="1608">
          <cell r="A1608">
            <v>1605</v>
          </cell>
          <cell r="B1608" t="str">
            <v>060.125.3925</v>
          </cell>
          <cell r="E1608" t="str">
            <v>BOLSAS. PARA ALIMENTACIÓN PARENTERAL NEONATAL DE 250 ML ESTÉRIL DE ETILVINIL ACETATO CON ESCALA DE MEDICIÓN CADA 50 ML SISTEMA DE LLENADO SITIO DE INYECCIÓN SISTEMA OBTURADOR Y ASA PARA COLGAR. PIEZA.</v>
          </cell>
          <cell r="U1608">
            <v>16832</v>
          </cell>
          <cell r="V1608">
            <v>42078</v>
          </cell>
        </row>
        <row r="1609">
          <cell r="A1609">
            <v>1606</v>
          </cell>
          <cell r="B1609" t="str">
            <v>060.125.3933</v>
          </cell>
          <cell r="E1609" t="str">
            <v>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25 X 35 CM. PIEZA.</v>
          </cell>
          <cell r="U1609">
            <v>116398</v>
          </cell>
          <cell r="V1609">
            <v>290994</v>
          </cell>
        </row>
        <row r="1610">
          <cell r="A1610">
            <v>1607</v>
          </cell>
          <cell r="B1610" t="str">
            <v>060.125.3941</v>
          </cell>
          <cell r="E1610" t="str">
            <v>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30 X 70 CM. PIEZA.</v>
          </cell>
          <cell r="U1610">
            <v>46728</v>
          </cell>
          <cell r="V1610">
            <v>116818</v>
          </cell>
        </row>
        <row r="1611">
          <cell r="A1611">
            <v>1608</v>
          </cell>
          <cell r="B1611" t="str">
            <v>060.125.3958</v>
          </cell>
          <cell r="E1611" t="str">
            <v>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50 x 65 cm. Pieza.</v>
          </cell>
          <cell r="U1611">
            <v>310746</v>
          </cell>
          <cell r="V1611">
            <v>776864</v>
          </cell>
        </row>
        <row r="1612">
          <cell r="A1612">
            <v>1609</v>
          </cell>
          <cell r="B1612" t="str">
            <v>060.125.3966</v>
          </cell>
          <cell r="E1612" t="str">
            <v>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60 x 90 cm. Pieza.</v>
          </cell>
          <cell r="U1612">
            <v>115924</v>
          </cell>
          <cell r="V1612">
            <v>289808</v>
          </cell>
        </row>
        <row r="1613">
          <cell r="A1613">
            <v>1610</v>
          </cell>
          <cell r="B1613" t="str">
            <v>060.125.3974</v>
          </cell>
          <cell r="E1613" t="str">
            <v>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90 x 120 cm. Pieza.</v>
          </cell>
          <cell r="U1613">
            <v>65272</v>
          </cell>
          <cell r="V1613">
            <v>163180</v>
          </cell>
        </row>
        <row r="1614">
          <cell r="A1614">
            <v>1611</v>
          </cell>
          <cell r="B1614" t="str">
            <v>060.125.4006</v>
          </cell>
          <cell r="E1614" t="str">
            <v>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50 x 65 cm. Pieza.</v>
          </cell>
          <cell r="U1614">
            <v>124506</v>
          </cell>
          <cell r="V1614">
            <v>311262</v>
          </cell>
        </row>
        <row r="1615">
          <cell r="A1615">
            <v>1612</v>
          </cell>
          <cell r="B1615" t="str">
            <v>060.125.4014</v>
          </cell>
          <cell r="E1615" t="str">
            <v>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60 x 90 cm. Pieza.</v>
          </cell>
          <cell r="U1615">
            <v>54235</v>
          </cell>
          <cell r="V1615">
            <v>135585</v>
          </cell>
        </row>
        <row r="1616">
          <cell r="A1616">
            <v>1613</v>
          </cell>
          <cell r="B1616" t="str">
            <v>060.125.4022</v>
          </cell>
          <cell r="E1616" t="str">
            <v>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90 x 120 cm. Pieza.</v>
          </cell>
          <cell r="U1616">
            <v>32802</v>
          </cell>
          <cell r="V1616">
            <v>82003</v>
          </cell>
        </row>
        <row r="1617">
          <cell r="A1617">
            <v>1614</v>
          </cell>
          <cell r="B1617" t="str">
            <v>060.125.4030</v>
          </cell>
          <cell r="E1617" t="str">
            <v>BOLSA PARA TRASLADO DE CADAVER CON CIERRE</v>
          </cell>
          <cell r="U1617">
            <v>2158</v>
          </cell>
          <cell r="V1617">
            <v>5392</v>
          </cell>
        </row>
        <row r="1618">
          <cell r="A1618">
            <v>1615</v>
          </cell>
          <cell r="B1618" t="str">
            <v>060.125.4063</v>
          </cell>
          <cell r="E1618" t="str">
            <v>Bolsas. Para uso general de polietileno. Biodegradable. Calibre entre 150-200. Para la recolección y desechos de residuos no RPBI. Medidas: 90 x 120 cm. Envase con 100 piezas.</v>
          </cell>
          <cell r="U1618">
            <v>63754</v>
          </cell>
          <cell r="V1618">
            <v>159381</v>
          </cell>
        </row>
        <row r="1619">
          <cell r="A1619">
            <v>1616</v>
          </cell>
          <cell r="B1619" t="str">
            <v>060.130.0015</v>
          </cell>
          <cell r="E1619" t="str">
            <v>Botas. Bota quirúrgica de tela no tejida 100% de polipropileno tipo SMS de 35 g/m2 mínimo impermeable a la penetración de líquidos y fluidos antiestática con dos cintas de sujeción. Desechable. Par.</v>
          </cell>
          <cell r="U1619">
            <v>20149491</v>
          </cell>
          <cell r="V1619">
            <v>50373725</v>
          </cell>
        </row>
        <row r="1620">
          <cell r="A1620">
            <v>1617</v>
          </cell>
          <cell r="B1620" t="str">
            <v>060.132.0054</v>
          </cell>
          <cell r="E1620" t="str">
            <v>Brazaletes. Para identificación. De plástico. Adulto. Envase con 100 piezas.</v>
          </cell>
          <cell r="U1620">
            <v>726022</v>
          </cell>
          <cell r="V1620">
            <v>1815053</v>
          </cell>
        </row>
        <row r="1621">
          <cell r="A1621">
            <v>1618</v>
          </cell>
          <cell r="B1621" t="str">
            <v>060.132.0203</v>
          </cell>
          <cell r="E1621" t="str">
            <v>Brazaletes. Para identificación. De plástico. Infantil. Envase con 100 piezas.</v>
          </cell>
          <cell r="U1621">
            <v>43254</v>
          </cell>
          <cell r="V1621">
            <v>108135</v>
          </cell>
        </row>
        <row r="1622">
          <cell r="A1622">
            <v>1619</v>
          </cell>
          <cell r="B1622" t="str">
            <v>060.154.0016</v>
          </cell>
          <cell r="E1622" t="str">
            <v>CARETA. CARETA DE PROTECCION FACIAL. HECHA DE PLASTICO TRANSPARENTE, CON ESPACIOSUFICIENTE QUE PERMITA EL USO COMBINADO DE OTRO EQUIPO DE PROTECCION PERSONAL,POR EJEMPLO, PROTECTOR RESPIRATORIO O ANTEOJOS GRADUADOS. QUE CUBRACOMPLETAMENTE LOS LADOS Y LONGITUD DE LA CARA. BANDA CON AJUSTE PARA LA FRENTE YCABEZA QUE PERMITA AJUSTE PERSONALIZADO Y QUE EVITE EL DESLIZAMIENTO DE LABANDA. QUE PERMITA SU LIMPIEZA CON SUSTANCIAS DESINFECTANTES HABITUALES SINDAÑARSE, REUTILIZABLE. PIEZA.</v>
          </cell>
          <cell r="U1622">
            <v>53019</v>
          </cell>
          <cell r="V1622">
            <v>132545</v>
          </cell>
        </row>
        <row r="1623">
          <cell r="A1623">
            <v>1620</v>
          </cell>
          <cell r="B1623" t="str">
            <v>060.155.0015</v>
          </cell>
          <cell r="E1623" t="str">
            <v>CAMPOS QUIRURGICOS DE INCISION SIN IODOPOVIDONA. COMPUESTO DE UNA PELICULAIMPERMEABLE; DE POLIESTER O POLIURETANO TRANSPARENTE, CON ADHESIVO GRADOMEDICO AUTOADHERIBLES, HIPOALERGENICO. MEDIDAS 45 A 60 CM X 50 A 90 CM. SEINCLUYEN MEDIDAS INTERMEDIAS ESTERILES Y DESECHABLES EN EMPAQUE INDIVIDUAL.ENVASE CON 10 PIEZAS. LAS MEDIDAS LAS SELECCIONARA LA UNIDAD MEDICA DE ACUERDOA SUS NECESIDADES.</v>
          </cell>
          <cell r="U1623">
            <v>10624</v>
          </cell>
          <cell r="V1623">
            <v>26559</v>
          </cell>
        </row>
        <row r="1624">
          <cell r="A1624">
            <v>1621</v>
          </cell>
          <cell r="B1624" t="str">
            <v>060.155.0155</v>
          </cell>
          <cell r="E1624" t="str">
            <v>CAMPOS QUIRURGICOS DE INCISION SIN IODOPOVIDONA. COMPUESTO DE UNA PELICULAIMPERMEABLE; DE POLIESTER O POLIURETANO TRANSPARENTE, CON ADHESIVO GRADOMEDICO AUTOADHERIBLES, HIPOALERGENICO. MEDIDAS 10 A 30 CM X 20 A 30 CM. SEINCLUYEN MEDIDAS INTERMEDIAS ESTERILES Y DESECHABLES EN EMPAQUE INDIVIDUAL.ENVASE CON 10 PIEZAS. LAS MEDIDAS LAS SELECCIONARA LA UNIDAD MEDICA DE ACUERDOA SUS NECESIDADES.</v>
          </cell>
          <cell r="U1624">
            <v>4680</v>
          </cell>
          <cell r="V1624">
            <v>11697</v>
          </cell>
        </row>
        <row r="1625">
          <cell r="A1625">
            <v>1622</v>
          </cell>
          <cell r="B1625" t="str">
            <v>060.155.0304</v>
          </cell>
          <cell r="E1625" t="str">
            <v>CAMPOS QUIRURGICOS DE INCISION SIN IODOPOVIDONA. COMPUESTO DE UNA PELICULAIMPERMEABLE; DE POLIESTER O POLIURETANO TRANSPARENTE, CON ADHESIVO GRADOMEDICO AUTOADHERIBLES, HIPOALERGENICO. MEDIDAS 25 A 35 CM X 35 A 45 CM. SEINCLUYEN MEDIDAS INTERMEDIAS ESTERILES Y DESECHABLES EN EMPAQUE INDIVIDUAL.ENVASE CON 10 PIEZAS. LAS MEDIDAS LAS SELECCIONARA LA UNIDAD MEDICA DE ACUERDOA SUS NECESIDADES.</v>
          </cell>
          <cell r="U1625">
            <v>7625</v>
          </cell>
          <cell r="V1625">
            <v>19061</v>
          </cell>
        </row>
        <row r="1626">
          <cell r="A1626">
            <v>1623</v>
          </cell>
          <cell r="B1626" t="str">
            <v>060.155.0312</v>
          </cell>
          <cell r="E1626" t="str">
            <v>CAMPOS QUIRURGICOS DE INCISION, IMPREGNADOS CON IODOPOVIDONA EN UNA DE SUSCARAS. COMPUESTO DE UNA PELICULA IMPERMEABLE; TRANSPARENTE, CON ADHESIVO GRADOMEDICO, AUTOADHERIBLES, HIPOALERGENICO. CON UNA SUPERFICIE DE IMPREGNACION DE:10 X 20 CM. ESTERILES Y DESECHABLES EMPAQUE INDIVIDUAL. ENVASE CON 10 PIEZAS.LAS MEDIDAS LAS SELECCIONARA LA UNIDAD MEDICA DE ACUERDO A SUS NECESIDADES.</v>
          </cell>
          <cell r="U1626">
            <v>3216</v>
          </cell>
          <cell r="V1626">
            <v>8037</v>
          </cell>
        </row>
        <row r="1627">
          <cell r="A1627">
            <v>1624</v>
          </cell>
          <cell r="B1627" t="str">
            <v>060.155.0320</v>
          </cell>
          <cell r="E1627" t="str">
            <v>CAMPOS QUIRURGICOS DE INCISION, IMPREGNADOS CON IODOPOVIDONA EN UNA DE SUSCARAS. COMPUESTO DE UNA PELICULA IMPERMEABLE; TRANSPARENTE, CON ADHESIVO GRADOMEDICO, AUTOADHERIBLES, HIPOALERGENICO. CON UNA SUPERFICIE DE IMPREGNACION DE:34 X 35 CM.  ESTERILES Y DESECHABLES EMPAQUE INDIVIDUAL. ENVASE CON 10 PIEZAS.LAS MEDIDAS LAS SELECCIONARA LA UNIDAD MEDICA DE ACUERDO A SUS NECESIDADES.</v>
          </cell>
          <cell r="U1627">
            <v>3512</v>
          </cell>
          <cell r="V1627">
            <v>8780</v>
          </cell>
        </row>
        <row r="1628">
          <cell r="A1628">
            <v>1625</v>
          </cell>
          <cell r="B1628" t="str">
            <v>060.155.0338</v>
          </cell>
          <cell r="E1628" t="str">
            <v>CAMPOS QUIRURGICOS DE INCISION, IMPREGNADOS CON IODOPOVIDONA EN UNA DE SUSCARAS. COMPUESTO DE UNA PELICULA IMPERMEABLE; TRANSPARENTE, CON ADHESIVO GRADOMEDICO, AUTOADHERIBLES, HIPOALERGENICO. CON UNA SUPERFICIE DE IMPREGNACION DE:56 X 45 CM. ESTERILES Y DESECHABLES EMPAQUE INDIVIDUAL. ENVASE CON 10 PIEZAS.LAS MEDIDAS LAS SELECCIONARA LA UNIDAD MEDICA DE ACUERDO A SUS NECESIDADES.</v>
          </cell>
          <cell r="U1628">
            <v>6102</v>
          </cell>
          <cell r="V1628">
            <v>15252</v>
          </cell>
        </row>
        <row r="1629">
          <cell r="A1629">
            <v>1626</v>
          </cell>
          <cell r="B1629" t="str">
            <v>060.156.0113</v>
          </cell>
          <cell r="E1629" t="str">
            <v>FERULAS. FRONDA PARA TRACCION CERVICAL. FABRICACION EN LONA. PIEZA.</v>
          </cell>
          <cell r="U1629">
            <v>382</v>
          </cell>
          <cell r="V1629">
            <v>953</v>
          </cell>
        </row>
        <row r="1630">
          <cell r="A1630">
            <v>1627</v>
          </cell>
          <cell r="B1630" t="str">
            <v>060.161.0223</v>
          </cell>
          <cell r="E1630" t="str">
            <v>CATETERES. CANDELILLAS DE PLASTICO FORMA ESPIRAL, ACOPLABLE A LA SONDA, HEMBRA YMACHO TIPO: PHILLIPS. CALIBRES: 6 FR. PIEZA.</v>
          </cell>
          <cell r="U1630">
            <v>410</v>
          </cell>
          <cell r="V1630">
            <v>1022</v>
          </cell>
        </row>
        <row r="1631">
          <cell r="A1631">
            <v>1628</v>
          </cell>
          <cell r="B1631" t="str">
            <v>060.161.0256</v>
          </cell>
          <cell r="E1631" t="str">
            <v>CATETERES. CANDELILLAS DE PLASTICO FORMA ESPIRAL, ACOPLABLE A LA SONDA, HEMBRA YMACHO TIPO: PHILLIPS. CALIBRES: 3 FR. PIEZA.</v>
          </cell>
          <cell r="U1631">
            <v>246</v>
          </cell>
          <cell r="V1631">
            <v>613</v>
          </cell>
        </row>
        <row r="1632">
          <cell r="A1632">
            <v>1629</v>
          </cell>
          <cell r="B1632" t="str">
            <v>060.161.0264</v>
          </cell>
          <cell r="E1632" t="str">
            <v>CATETERES. CANDELILLAS DE PLASTICO FORMA RECTA, ACOPLABLE A LA SONDA, HEMBRA YMACHO. TIPO: PHILLIPS. CALIBRES: 3 FR. PIEZA.</v>
          </cell>
          <cell r="U1632">
            <v>285</v>
          </cell>
          <cell r="V1632">
            <v>711</v>
          </cell>
        </row>
        <row r="1633">
          <cell r="A1633">
            <v>1630</v>
          </cell>
          <cell r="B1633" t="str">
            <v>060.161.0272</v>
          </cell>
          <cell r="E1633" t="str">
            <v>CATETERES. CANDELILLAS DE PLASTICO FORMA ESPIRAL, ACOPLABLE A LA SONDA, HEMBRA YMACHO TIPO: PHILLIPS. CALIBRES: 4 FR. PIEZA.</v>
          </cell>
          <cell r="U1633">
            <v>236</v>
          </cell>
          <cell r="V1633">
            <v>588</v>
          </cell>
        </row>
        <row r="1634">
          <cell r="A1634">
            <v>1631</v>
          </cell>
          <cell r="B1634" t="str">
            <v>060.161.0280</v>
          </cell>
          <cell r="E1634" t="str">
            <v>CATETERES. CANDELILLAS DE PLASTICO FORMA ESPIRAL, ACOPLABLE A LA SONDA, HEMBRA YMACHO TIPO: PHILLIPS. CALIBRES: 5 FR. PIEZA.</v>
          </cell>
          <cell r="U1634">
            <v>278</v>
          </cell>
          <cell r="V1634">
            <v>693</v>
          </cell>
        </row>
        <row r="1635">
          <cell r="A1635">
            <v>1632</v>
          </cell>
          <cell r="B1635" t="str">
            <v>060.161.0306</v>
          </cell>
          <cell r="E1635" t="str">
            <v>CATETERES. CANDELILLAS DE PLASTICO FORMA RECTA, ACOPLABLE A LA SONDA, HEMBRA YMACHO. TIPO: PHILLIPS. CALIBRES: 4 FR. PIEZA.</v>
          </cell>
          <cell r="U1635">
            <v>468</v>
          </cell>
          <cell r="V1635">
            <v>1169</v>
          </cell>
        </row>
        <row r="1636">
          <cell r="A1636">
            <v>1633</v>
          </cell>
          <cell r="B1636" t="str">
            <v>060.161.0314</v>
          </cell>
          <cell r="E1636" t="str">
            <v>CATETERES. CANDELILLAS DE PLASTICO FORMA RECTA, ACOPLABLE A LA SONDA, HEMBRA YMACHO. TIPO: PHILLIPS. CALIBRES: 5 FR. PIEZA.</v>
          </cell>
          <cell r="U1636">
            <v>283</v>
          </cell>
          <cell r="V1636">
            <v>705</v>
          </cell>
        </row>
        <row r="1637">
          <cell r="A1637">
            <v>1634</v>
          </cell>
          <cell r="B1637" t="str">
            <v>060.161.0322</v>
          </cell>
          <cell r="E1637" t="str">
            <v>CATETERES. CANDELILLAS DE PLASTICO FORMA RECTA, ACOPLABLE A LA SONDA, HEMBRA YMACHO. TIPO: PHILLIPS. CALIBRES: 6 FR. PIEZA.</v>
          </cell>
          <cell r="U1637">
            <v>275</v>
          </cell>
          <cell r="V1637">
            <v>686</v>
          </cell>
        </row>
        <row r="1638">
          <cell r="A1638">
            <v>1635</v>
          </cell>
          <cell r="B1638" t="str">
            <v>060.164.0014</v>
          </cell>
          <cell r="E1638" t="str">
            <v>Sondas. Para drenaje urinario de permanencia prolongada. De elastómero de silicón con globo de autorretención de 5 ml con válvula para jeringa. Estéril y desechable. Tipo: foley de dos vías. Calibre: 8 Fr. Pieza.</v>
          </cell>
          <cell r="U1638">
            <v>28496</v>
          </cell>
          <cell r="V1638">
            <v>71240</v>
          </cell>
        </row>
        <row r="1639">
          <cell r="A1639">
            <v>1636</v>
          </cell>
          <cell r="B1639" t="str">
            <v>060.164.0022</v>
          </cell>
          <cell r="E1639" t="str">
            <v>Sondas. Para drenaje urinario de permanencia prolongada. De elastómero de silicón con globo de autorretención de 5 ml con válvula para jeringa. Estéril y desechable. Tipo: foley de dos vías. Calibre: 10 Fr. Pieza.</v>
          </cell>
          <cell r="U1639">
            <v>26983</v>
          </cell>
          <cell r="V1639">
            <v>67457</v>
          </cell>
        </row>
        <row r="1640">
          <cell r="A1640">
            <v>1637</v>
          </cell>
          <cell r="B1640" t="str">
            <v>060.164.0030</v>
          </cell>
          <cell r="E1640" t="str">
            <v>SONDAS. PARA DRENAJE URINARIO DE PERMANENCIA PROLONGADA. DE ELASTÓMERO DE SILICÓN CON GLOBO DE AUTORRETENCIÓN DE 5 ML CON VÁLVULA PARA JERINGA. ESTÉRIL Y DESECHABLE. TIPO: FOLEY DE DOS VÍAS. CALIBRE: 12 FR. PIEZA.</v>
          </cell>
          <cell r="U1640">
            <v>19696</v>
          </cell>
          <cell r="V1640">
            <v>49239</v>
          </cell>
        </row>
        <row r="1641">
          <cell r="A1641">
            <v>1638</v>
          </cell>
          <cell r="B1641" t="str">
            <v>060.164.0048</v>
          </cell>
          <cell r="E1641" t="str">
            <v>SONDAS. PARA DRENAJE URINARIO DE PERMANENCIA PROLONGADA. DE ELASTÓMERO DE SILICÓN CON GLOBO DE AUTORRETENCIÓN DE 5 ML CON VÁLVULA PARA JERINGA. ESTÉRIL Y DESECHABLE. TIPO: FOLEY DE DOS VÍAS. CALIBRE: 22 FR. PIEZA.</v>
          </cell>
          <cell r="U1641">
            <v>12832</v>
          </cell>
          <cell r="V1641">
            <v>32080</v>
          </cell>
        </row>
        <row r="1642">
          <cell r="A1642">
            <v>1639</v>
          </cell>
          <cell r="B1642" t="str">
            <v>060.164.4552</v>
          </cell>
          <cell r="E1642" t="str">
            <v>SONDAS. PARA DRENAJE URINARIO DE PERMANENCIA PROLONGADA. DE ELASTÓMERO DE SILICÓN CON GLOBO DE AUTORRETENCIÓN DE 30 ML CON VÁLVULA PARA JERINGA. ESTÉRIL Y DESECHABLE. TIPO: FOLEY DE DOS VÍAS. CALIBRE: 12 FR. PIEZA.</v>
          </cell>
          <cell r="U1642">
            <v>9470</v>
          </cell>
          <cell r="V1642">
            <v>23674</v>
          </cell>
        </row>
        <row r="1643">
          <cell r="A1643">
            <v>1640</v>
          </cell>
          <cell r="B1643" t="str">
            <v>060.164.4560</v>
          </cell>
          <cell r="E1643" t="str">
            <v>Sondas. Para drenaje urinario de permanencia prolongada. De elastómero de silicón con globo de autorretención de 30 ml con válvula para jeringa. Estéril y desechable. Tipo: foley de dos vías. Calibre: 14 Fr. Pieza.</v>
          </cell>
          <cell r="U1643">
            <v>40358</v>
          </cell>
          <cell r="V1643">
            <v>100892</v>
          </cell>
        </row>
        <row r="1644">
          <cell r="A1644">
            <v>1641</v>
          </cell>
          <cell r="B1644" t="str">
            <v>060.164.4578</v>
          </cell>
          <cell r="E1644" t="str">
            <v>Sondas. Para drenaje urinario de permanencia prolongada. De elastómero de silicón con globo de autorretención de 30 ml con válvula para jeringa. Estéril y desechable. Tipo: foley de dos vías. Calibre: 16 Fr. Pieza.</v>
          </cell>
          <cell r="U1644">
            <v>102746</v>
          </cell>
          <cell r="V1644">
            <v>256861</v>
          </cell>
        </row>
        <row r="1645">
          <cell r="A1645">
            <v>1642</v>
          </cell>
          <cell r="B1645" t="str">
            <v>060.164.4586</v>
          </cell>
          <cell r="E1645" t="str">
            <v>Sondas. Para drenaje urinario de permanencia prolongada. De elastómero de silicón con globo de autorretención de 30 ml con válvula para jeringa. Estéril y desechable. Tipo: foley de dos vías. Calibre: 18 Fr. Pieza.</v>
          </cell>
          <cell r="U1645">
            <v>69434</v>
          </cell>
          <cell r="V1645">
            <v>173584</v>
          </cell>
        </row>
        <row r="1646">
          <cell r="A1646">
            <v>1643</v>
          </cell>
          <cell r="B1646" t="str">
            <v>060.164.4594</v>
          </cell>
          <cell r="E1646" t="str">
            <v>Sondas. Para drenaje urinario de permanencia prolongada. De elastómero de silicón con globo de autorretención de 30 ml con válvula para jeringa. Estéril y desechable. Tipo: foley de dos vías. Calibre: 20 Fr. Pieza.</v>
          </cell>
          <cell r="U1646">
            <v>34260</v>
          </cell>
          <cell r="V1646">
            <v>85647</v>
          </cell>
        </row>
        <row r="1647">
          <cell r="A1647">
            <v>1644</v>
          </cell>
          <cell r="B1647" t="str">
            <v>060.164.4602</v>
          </cell>
          <cell r="E1647" t="str">
            <v>SONDAS. PARA DRENAJE URINARIO DE PERMANENCIA PROLONGADA. DE ELASTÓMERO DE SILICÓN CON GLOBO DE AUTORRETENCIÓN DE 30 ML CON VÁLVULA PARA JERINGA. ESTÉRIL Y DESECHABLE. TIPO: FOLEY DE DOS VÍAS. CALIBRE: 22 FR. PIEZA.</v>
          </cell>
          <cell r="U1647">
            <v>12386</v>
          </cell>
          <cell r="V1647">
            <v>30963</v>
          </cell>
        </row>
        <row r="1648">
          <cell r="A1648">
            <v>1645</v>
          </cell>
          <cell r="B1648" t="str">
            <v>060.164.4610</v>
          </cell>
          <cell r="E1648" t="str">
            <v>SONDAS. PARA DRENAJE URINARIO DE PERMANENCIA PROLONGADA. DE ELASTOMERO DESILICON CON GLOBO DE AUTORRETENCION DE 30 ML CON VALVULA PARA JERINGA. ESTERIL YDESECHABLE. TIPO: FOLEY DE DOS VIAS. CALIBRE: 24 FR. PIEZA.</v>
          </cell>
          <cell r="U1648">
            <v>7142</v>
          </cell>
          <cell r="V1648">
            <v>17855</v>
          </cell>
        </row>
        <row r="1649">
          <cell r="A1649">
            <v>1646</v>
          </cell>
          <cell r="B1649" t="str">
            <v>060.164.4628</v>
          </cell>
          <cell r="E1649" t="str">
            <v>SONDAS. PARA DRENAJE URINARIO DE PERMANENCIA PROLONGADA. DE ELASTÓMERO DE SILICÓN CON GLOBO DE AUTORRETENCIÓN PEDIÁTRICO DE 2 ML CON VÁLVULA PARA JERINGA. ESTÉRILES Y DESECHABLES. TIPO: FOLEY (DE DOS VÍAS). CALIBRE: 8 FR. PIEZA.</v>
          </cell>
          <cell r="U1649">
            <v>7002</v>
          </cell>
          <cell r="V1649">
            <v>17503</v>
          </cell>
        </row>
        <row r="1650">
          <cell r="A1650">
            <v>1647</v>
          </cell>
          <cell r="B1650" t="str">
            <v>060.164.4636</v>
          </cell>
          <cell r="E1650" t="str">
            <v>SONDAS. PARA DRENAJE URINARIO DE PERMANENCIA PROLONGADA. DE ELASTÓMERO DE SILICÓN CON GLOBO DE AUTORRETENCIÓN PEDIÁTRICO DE 3 ML CON VÁLVULA PARA JERINGA. ESTÉRILES Y DESECHABLES. TIPO: FOLEY (DE DOS VÍAS). CALIBRE: 10 FR. PIEZA.</v>
          </cell>
          <cell r="U1650">
            <v>6635</v>
          </cell>
          <cell r="V1650">
            <v>16585</v>
          </cell>
        </row>
        <row r="1651">
          <cell r="A1651">
            <v>1648</v>
          </cell>
          <cell r="B1651" t="str">
            <v>060.164.4644</v>
          </cell>
          <cell r="E1651" t="str">
            <v>Sondas. Para drenaje urinario de permanencia prolongada. De elastómero de silicón con globo de autorretención pediátrico de 3 ml con válvula para jeringa. Estériles y desechables. Tipo: foley (de dos vías). Calibre: 16 Fr. Pieza.</v>
          </cell>
          <cell r="U1651">
            <v>14874</v>
          </cell>
          <cell r="V1651">
            <v>37182</v>
          </cell>
        </row>
        <row r="1652">
          <cell r="A1652">
            <v>1649</v>
          </cell>
          <cell r="B1652" t="str">
            <v>060.165.0013</v>
          </cell>
          <cell r="E1652" t="str">
            <v>CATÉTERES. CATÉTER PARA EXTRACCIÓN DE CÁLCULOS DE VÍAS BILIARES CON DOBLE LUMEN CALIBRE 5.0 A 6.8 FR CON PUNTA DISTAL DE 5.0 FR Y 200 A 210 CM DE LONGITUD. ESTÉRIL Y DESECHABLE. BALÓN: 8.5 A 12 ML. PIEZA. LAS MEDIDAS DEL CATÉTER SERÁN SELECCIONADAS DE ACUERDO A LAS NECESIDADES DE LAS UNIDADES MÉDICAS.</v>
          </cell>
          <cell r="U1652">
            <v>13432</v>
          </cell>
          <cell r="V1652">
            <v>33577</v>
          </cell>
        </row>
        <row r="1653">
          <cell r="A1653">
            <v>1650</v>
          </cell>
          <cell r="B1653" t="str">
            <v>060.165.0021</v>
          </cell>
          <cell r="E1653" t="str">
            <v>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v>
          </cell>
          <cell r="U1653">
            <v>1659</v>
          </cell>
          <cell r="V1653">
            <v>4146</v>
          </cell>
        </row>
        <row r="1654">
          <cell r="A1654">
            <v>1651</v>
          </cell>
          <cell r="B1654" t="str">
            <v>060.165.0039</v>
          </cell>
          <cell r="E1654" t="str">
            <v>CATÉTER PARA EXTRACCIÓN DE CÁLCULOS DE VÍAS BILIARES CON TRIPLE LUMEN CALIBRE DE 7 A 8.8 FR CON PUNTA DISTAL DE 5 FR Y 200 A 210 CM DE LONGITUD. ESTÉRIL Y DESECHABLE. BALÓN: 1 A 1.5 ML. PIEZA. LAS MEDIDAS DEL CATÉTER SERÁN SELECCIONADAS DE ACUERDO A LAS NECESIDADES DE LAS UNIDADES MÉDICAS.</v>
          </cell>
          <cell r="U1654">
            <v>1866</v>
          </cell>
          <cell r="V1654">
            <v>4662</v>
          </cell>
        </row>
        <row r="1655">
          <cell r="A1655">
            <v>1652</v>
          </cell>
          <cell r="B1655" t="str">
            <v>060.165.0047</v>
          </cell>
          <cell r="E1655" t="str">
            <v>Catéter para extracción de cálculos de vías biliares con triple lumen calibre de 7 a 8.8 Fr con punta distal de 5 Fr y 200 a 210 cm de longitud. Estéril y desechable. Balón: 3.0 ml. Pieza. Las medidas del catéter serán seleccionadas de acuerdo a las necesidades de las unidades médicas.</v>
          </cell>
          <cell r="U1655">
            <v>3179</v>
          </cell>
          <cell r="V1655">
            <v>7945</v>
          </cell>
        </row>
        <row r="1656">
          <cell r="A1656">
            <v>1653</v>
          </cell>
          <cell r="B1656" t="str">
            <v>060.165.0054</v>
          </cell>
          <cell r="E1656" t="str">
            <v>Catéter para extracción de cálculos de vías biliares con triple lumen calibre de 7 a 8.8 Fr con punta distal de 5 Fr y 200 a 210 cm de longitud. Estéril y desechable. Balón: 4.0 a 4.3 ml. Pieza. Las medidas del catéter serán seleccionadas de acuerdo a las necesidades de las unidades médicas.</v>
          </cell>
          <cell r="U1656">
            <v>2564</v>
          </cell>
          <cell r="V1656">
            <v>6408</v>
          </cell>
        </row>
        <row r="1657">
          <cell r="A1657">
            <v>1654</v>
          </cell>
          <cell r="B1657" t="str">
            <v>060.165.0062</v>
          </cell>
          <cell r="E1657" t="str">
            <v>Catéteres. Catéter dilatador de vías biliares, de 3 cm de longitud, con balón de 3 cm de longitud. Estéril y desechable. Diámetro del balón: 4 mm. Pieza</v>
          </cell>
          <cell r="U1657">
            <v>506</v>
          </cell>
          <cell r="V1657">
            <v>1261</v>
          </cell>
        </row>
        <row r="1658">
          <cell r="A1658">
            <v>1655</v>
          </cell>
          <cell r="B1658" t="str">
            <v>060.165.0070</v>
          </cell>
          <cell r="E1658" t="str">
            <v>Catéteres. Catéter dilatador de vías biliares, de 3 cm de longitud, con balón de 3 cm de longitud. Estéril y desechable. Diámetro del balón: 6 mm. Pieza</v>
          </cell>
          <cell r="U1658">
            <v>749</v>
          </cell>
          <cell r="V1658">
            <v>1871</v>
          </cell>
        </row>
        <row r="1659">
          <cell r="A1659">
            <v>1656</v>
          </cell>
          <cell r="B1659" t="str">
            <v>060.165.0088</v>
          </cell>
          <cell r="E1659" t="str">
            <v>Catéteres. Catéter dilatador de vías biliares, de 3 cm de longitud, con balón de 3 cm de longitud. Estéril y desechable. Diámetro del balón: 8 mm. Pieza</v>
          </cell>
          <cell r="U1659">
            <v>798</v>
          </cell>
          <cell r="V1659">
            <v>1994</v>
          </cell>
        </row>
        <row r="1660">
          <cell r="A1660">
            <v>1657</v>
          </cell>
          <cell r="B1660" t="str">
            <v>060.165.0096</v>
          </cell>
          <cell r="E1660" t="str">
            <v>Catéteres. Catéter dilatador de vías biliares, de 3 cm de longitud, con balón de 3 cm de longitud. Estéril y desechable. Diámetro del balón: 10 mm. Pieza.</v>
          </cell>
          <cell r="U1660">
            <v>433</v>
          </cell>
          <cell r="V1660">
            <v>1080</v>
          </cell>
        </row>
        <row r="1661">
          <cell r="A1661">
            <v>1658</v>
          </cell>
          <cell r="B1661" t="str">
            <v>060.165.0104</v>
          </cell>
          <cell r="E1661" t="str">
            <v>CATÉTERES. CATÉTER DILATADOR DE VÍAS BILIARES DE 200 CM DE LONGITUD CON BANDA RADIOPACA. ESTÉRIL Y DESECHABLE. TIPO: SOEHENDRA. CALIBRE: 6.0 FR. PIEZA</v>
          </cell>
          <cell r="U1661">
            <v>293</v>
          </cell>
          <cell r="V1661">
            <v>729</v>
          </cell>
        </row>
        <row r="1662">
          <cell r="A1662">
            <v>1659</v>
          </cell>
          <cell r="B1662" t="str">
            <v>060.165.0112</v>
          </cell>
          <cell r="E1662" t="str">
            <v>CATÉTERES. CATÉTER DILATADOR DE VÍAS BILIARES DE 200 CM DE LONGITUD CON BANDA RADIOPACA. ESTÉRIL Y DESECHABLE. TIPO: SOEHENDRA. CALIBRE: 7.0 FR. PIEZA</v>
          </cell>
          <cell r="U1662">
            <v>585</v>
          </cell>
          <cell r="V1662">
            <v>1461</v>
          </cell>
        </row>
        <row r="1663">
          <cell r="A1663">
            <v>1660</v>
          </cell>
          <cell r="B1663" t="str">
            <v>060.165.0120</v>
          </cell>
          <cell r="E1663" t="str">
            <v>CATÉTERES. CATÉTER DILATADOR DE VÍAS BILIARES DE 200 CM DE LONGITUD CON BANDA RADIOPACA. ESTÉRIL Y DESECHABLE. TIPO: SOEHENDRA. CALIBRE: 8.5 FR. PIEZA</v>
          </cell>
          <cell r="U1663">
            <v>373</v>
          </cell>
          <cell r="V1663">
            <v>930</v>
          </cell>
        </row>
        <row r="1664">
          <cell r="A1664">
            <v>1661</v>
          </cell>
          <cell r="B1664" t="str">
            <v>060.165.0138</v>
          </cell>
          <cell r="E1664" t="str">
            <v>CATÉTERES. CATÉTER DILATADOR DE VÍAS BILIARES DE 200 CM DE LONGITUD CON BANDA RADIOPACA. ESTÉRIL Y DESECHABLE. TIPO: SOEHENDRA. CALIBRE: 9.0 FR. PIEZA</v>
          </cell>
          <cell r="U1664">
            <v>495</v>
          </cell>
          <cell r="V1664">
            <v>1235</v>
          </cell>
        </row>
        <row r="1665">
          <cell r="A1665">
            <v>1662</v>
          </cell>
          <cell r="B1665" t="str">
            <v>060.165.0146</v>
          </cell>
          <cell r="E1665" t="str">
            <v>CATÉTERES. CATÉTER DILATADOR DE VÍAS BILIARES DE 200 CM DE LONGITUD CON BANDA RADIOPACA. ESTÉRIL Y DESECHABLE. TIPO: SOEHENDRA. CALIBRE: 10.0 FR. PIEZA</v>
          </cell>
          <cell r="U1665">
            <v>467</v>
          </cell>
          <cell r="V1665">
            <v>1165</v>
          </cell>
        </row>
        <row r="1666">
          <cell r="A1666">
            <v>1663</v>
          </cell>
          <cell r="B1666" t="str">
            <v>060.165.0153</v>
          </cell>
          <cell r="E1666" t="str">
            <v>CATÉTERES. CATÉTER DILATADOR DE VÍAS BILIARES DE 200 CM DE LONGITUD CON BANDA RADIOPACA. ESTÉRIL Y DESECHABLE. TIPO: SOEHENDRA. CALIBRE: 11.5 FR. PIEZA</v>
          </cell>
          <cell r="U1666">
            <v>134</v>
          </cell>
          <cell r="V1666">
            <v>331</v>
          </cell>
        </row>
        <row r="1667">
          <cell r="A1667">
            <v>1664</v>
          </cell>
          <cell r="B1667" t="str">
            <v>060.165.0161</v>
          </cell>
          <cell r="E1667" t="str">
            <v>CATÉTERES. CATÉTER DILATADOR DE VÍAS BILIARES DE 200 CM DE LONGITUD. ESTÉRIL Y DESECHABLE. TIPO: COTTON. CALIBRE: 8.5 FR. PIEZA.</v>
          </cell>
          <cell r="U1667">
            <v>164</v>
          </cell>
          <cell r="V1667">
            <v>410</v>
          </cell>
        </row>
        <row r="1668">
          <cell r="A1668">
            <v>1665</v>
          </cell>
          <cell r="B1668" t="str">
            <v>060.165.0179</v>
          </cell>
          <cell r="E1668" t="str">
            <v>CATÉTERES. CATÉTER DILATADOR DE VÍAS BILIARES DE 200 CM DE LONGITUD. ESTÉRIL Y DESECHABLE. TIPO: COTTON. CALIBRE: 10.0 FR. PIEZA.</v>
          </cell>
          <cell r="U1668">
            <v>127</v>
          </cell>
          <cell r="V1668">
            <v>316</v>
          </cell>
        </row>
        <row r="1669">
          <cell r="A1669">
            <v>1666</v>
          </cell>
          <cell r="B1669" t="str">
            <v>060.165.0187</v>
          </cell>
          <cell r="E1669" t="str">
            <v>CATÉTERES. CATÉTER PARA DILATACIÓN DEL CONDUCTO PANCREÁTICO DE 200 CM DE LONGITUD. ESTÉRIL Y DESECHABLE. CALIBRE: 3.0 FR. PIEZA.</v>
          </cell>
          <cell r="U1669">
            <v>26</v>
          </cell>
          <cell r="V1669">
            <v>64</v>
          </cell>
        </row>
        <row r="1670">
          <cell r="A1670">
            <v>1667</v>
          </cell>
          <cell r="B1670" t="str">
            <v>060.165.0195</v>
          </cell>
          <cell r="E1670" t="str">
            <v>CATÉTERES. CATÉTER PARA DILATACIÓN DEL CONDUCTO PANCREÁTICO DE 200 CM DE LONGITUD. ESTÉRIL Y DESECHABLE. CALIBRE: 4.0 FR. PIEZA.</v>
          </cell>
          <cell r="U1670">
            <v>26</v>
          </cell>
          <cell r="V1670">
            <v>64</v>
          </cell>
        </row>
        <row r="1671">
          <cell r="A1671">
            <v>1668</v>
          </cell>
          <cell r="B1671" t="str">
            <v>060.165.0203</v>
          </cell>
          <cell r="E1671" t="str">
            <v>CATÉTERES. CATÉTER PARA DILATACIÓN DEL CONDUCTO PANCREÁTICO DE 200 CM DE LONGITUD. ESTÉRIL Y DESECHABLE. CALIBRE: 5.0 FR. PIEZA.</v>
          </cell>
          <cell r="U1671">
            <v>60</v>
          </cell>
          <cell r="V1671">
            <v>148</v>
          </cell>
        </row>
        <row r="1672">
          <cell r="A1672">
            <v>1669</v>
          </cell>
          <cell r="B1672" t="str">
            <v>060.165.0211</v>
          </cell>
          <cell r="E1672" t="str">
            <v>CATÉTERES. CATÉTER PARA DILATACIÓN DEL CONDUCTO PANCREÁTICO DE 200 CM DE LONGITUD. ESTÉRIL Y DESECHABLE. CALIBRE: 6.0 FR. PIEZA.</v>
          </cell>
          <cell r="U1672">
            <v>26</v>
          </cell>
          <cell r="V1672">
            <v>64</v>
          </cell>
        </row>
        <row r="1673">
          <cell r="A1673">
            <v>1670</v>
          </cell>
          <cell r="B1673" t="str">
            <v>060.165.0310</v>
          </cell>
          <cell r="E1673" t="str">
            <v>CATÉTERES. CATÉTER PARA CANULACIÓN POR VÍA RETRÓGRADA CALIBRE 5.0 A 5.5 FR Y 200 A 210 CM DE LONGITUD TOTAL. ESTÉRIL Y DESECHABLE. TIPO DE PUNTA: BISELADA. PIEZA.</v>
          </cell>
          <cell r="U1673">
            <v>210</v>
          </cell>
          <cell r="V1673">
            <v>525</v>
          </cell>
        </row>
        <row r="1674">
          <cell r="A1674">
            <v>1671</v>
          </cell>
          <cell r="B1674" t="str">
            <v>060.165.0328</v>
          </cell>
          <cell r="E1674" t="str">
            <v>CATÉTERES. CATÉTER PARA CANULACIÓN POR VÍA RETRÓGRADA CALIBRE 5.0 A 5.5 FR Y 200 A 210 CM DE LONGITUD TOTAL. ESTÉRIL Y DESECHABLE. TIPO DE PUNTA: ESTÁNDAR. PIEZA.</v>
          </cell>
          <cell r="U1674">
            <v>9</v>
          </cell>
          <cell r="V1674">
            <v>21</v>
          </cell>
        </row>
        <row r="1675">
          <cell r="A1675">
            <v>1672</v>
          </cell>
          <cell r="B1675" t="str">
            <v>060.165.0336</v>
          </cell>
          <cell r="E1675" t="str">
            <v>CATÉTERES. CATÉTER PARA CANULACIÓN POR VÍA RETRÓGRADA CALIBRE 5.0 A 5.5 FR Y 200 A 210 CM DE LONGITUD TOTAL. ESTÉRIL Y DESECHABLE. TIPO DE PUNTA: AHUSADA PIEZA.</v>
          </cell>
          <cell r="U1675">
            <v>210</v>
          </cell>
          <cell r="V1675">
            <v>525</v>
          </cell>
        </row>
        <row r="1676">
          <cell r="A1676">
            <v>1673</v>
          </cell>
          <cell r="B1676" t="str">
            <v>060.165.0344</v>
          </cell>
          <cell r="E1676" t="str">
            <v>CATÉTERES. CATÉTER PARA CANULACIÓN POR VÍA RETRÓGRADA CALIBRE 5.0 A 5.5 FR Y 200 A 210 CM DE LONGITUD TOTAL. ESTÉRIL Y DESECHABLE. TIPO DE PUNTA: CÓNICA. PIEZA.</v>
          </cell>
          <cell r="U1676">
            <v>26</v>
          </cell>
          <cell r="V1676">
            <v>63</v>
          </cell>
        </row>
        <row r="1677">
          <cell r="A1677">
            <v>1674</v>
          </cell>
          <cell r="B1677" t="str">
            <v>060.165.0351</v>
          </cell>
          <cell r="E1677" t="str">
            <v>CATÉTERES. CATÉTER PARA CANULACIÓN POR VÍA RETRÓGRADA CALIBRE 5.0 A 5.5 FR Y 200 A 210 CM DE LONGITUD TOTAL. ESTÉRIL Y DESECHABLE. TIPO DE PUNTA: BALÓN. PIEZA.</v>
          </cell>
          <cell r="U1677">
            <v>51</v>
          </cell>
          <cell r="V1677">
            <v>126</v>
          </cell>
        </row>
        <row r="1678">
          <cell r="A1678">
            <v>1675</v>
          </cell>
          <cell r="B1678" t="str">
            <v>060.165.0369</v>
          </cell>
          <cell r="E1678" t="str">
            <v>CATÉTER PARA DILATACIÓN DE ESÓFAGO DE 180 CM DE LONGITUD Y BALÓN DE 8 CM DE LONGITUD. ESTÉRIL Y DESECHABLE. CALIBRE DEL CATÉTER: 18 FR. DIÁMETRO EXTERNO DE INFLADO DE BALÓN 6-7-8 MM. PIEZA. LAS UNIDADES MÉDICAS DEBERÁN SELECCIONAR LAS MEDIDAS DE ACUERDO A SUS NECESIDADES.</v>
          </cell>
          <cell r="U1678">
            <v>189</v>
          </cell>
          <cell r="V1678">
            <v>470</v>
          </cell>
        </row>
        <row r="1679">
          <cell r="A1679">
            <v>1676</v>
          </cell>
          <cell r="B1679" t="str">
            <v>060.165.0377</v>
          </cell>
          <cell r="E1679" t="str">
            <v>CATÉTER PARA DILATACIÓN DE ESÓFAGO DE 180 CM DE LONGITUD Y BALÓN DE 8 CM DE LONGITUD. ESTÉRIL Y DESECHABLE. CALIBRE DEL CATÉTER: 24 FR. DIÁMETRO EXTERNO DE INFLADO DE BALÓN 8-9-10 MM. PIEZA. LAS UNIDADES MÉDICAS DEBERÁN SELECCIONAR LAS MEDIDAS DE ACUERDO A SUS NECESIDADES.</v>
          </cell>
          <cell r="U1679">
            <v>335</v>
          </cell>
          <cell r="V1679">
            <v>836</v>
          </cell>
        </row>
        <row r="1680">
          <cell r="A1680">
            <v>1677</v>
          </cell>
          <cell r="B1680" t="str">
            <v>060.165.0385</v>
          </cell>
          <cell r="E1680" t="str">
            <v>Catéter para dilatación de esófago de 180 cm de longitud y balón de 8 cm de longitud. Estéril y desechable. Calibre del catéter: 30 Fr. Diámetro externo de inflado de balón 10-11-12 mm. Pieza. Las unidades médicas deberán seleccionar las medidas de acuerdo a sus necesidades.</v>
          </cell>
          <cell r="U1680">
            <v>200</v>
          </cell>
          <cell r="V1680">
            <v>498</v>
          </cell>
        </row>
        <row r="1681">
          <cell r="A1681">
            <v>1678</v>
          </cell>
          <cell r="B1681" t="str">
            <v>060.165.0393</v>
          </cell>
          <cell r="E1681" t="str">
            <v>CATÉTER PARA DILATACIÓN DE ESÓFAGO DE 180 CM DE LONGITUD Y BALÓN DE 8 CM DE LONGITUD. ESTÉRIL Y DESECHABLE. CALIBRE DEL CATÉTER: 36 FR. DIÁMETRO EXTERNO DE INFLADO DE BALÓN 12-13.5-15 MM. PIEZA. LAS UNIDADES MÉDICAS DEBERÁN SELECCIONAR LAS MEDIDAS DE ACUERDO A SUS NECESIDADES.</v>
          </cell>
          <cell r="U1681">
            <v>128</v>
          </cell>
          <cell r="V1681">
            <v>318</v>
          </cell>
        </row>
        <row r="1682">
          <cell r="A1682">
            <v>1679</v>
          </cell>
          <cell r="B1682" t="str">
            <v>060.165.0401</v>
          </cell>
          <cell r="E1682" t="str">
            <v>CATÉTER PARA DILATACIÓN DE ESÓFAGO DE 180 CM DE LONGITUD Y BALÓN DE 8 CM DE LONGITUD. ESTÉRIL Y DESECHABLE. CALIBRE DEL CATÉTER: 42 FR. DIÁMETRO EXTERNO DE INFLADO DE BALÓN 12-13.5-15 MM PIEZA. LAS UNIDADES MÉDICAS DEBERÁN SELECCIONAR LAS MEDIDAS DE ACUERDO A SUS NECESIDADES.</v>
          </cell>
          <cell r="U1682">
            <v>40</v>
          </cell>
          <cell r="V1682">
            <v>99</v>
          </cell>
        </row>
        <row r="1683">
          <cell r="A1683">
            <v>1680</v>
          </cell>
          <cell r="B1683" t="str">
            <v>060.165.0419</v>
          </cell>
          <cell r="E1683" t="str">
            <v>CATÉTER PARA DILATACIÓN DE ESÓFAGO DE 180 CM DE LONGITUD Y BALÓN DE 8 CM DE LONGITUD. ESTÉRIL Y DESECHABLE. CALIBRE DEL CATÉTER: 48 FR. DIÁMETRO EXTERNO DE INFLADO DE BALÓN 15-16.5-18 MM. PIEZA. LAS UNIDADES MÉDICAS DEBERÁN SELECCIONAR LAS MEDIDAS DE ACUERDO A SUS NECESIDADES.</v>
          </cell>
          <cell r="U1683">
            <v>23</v>
          </cell>
          <cell r="V1683">
            <v>57</v>
          </cell>
        </row>
        <row r="1684">
          <cell r="A1684">
            <v>1681</v>
          </cell>
          <cell r="B1684" t="str">
            <v>060.165.0427</v>
          </cell>
          <cell r="E1684" t="str">
            <v>CATÉTER PARA DILATACIÓN DE ESÓFAGO DE 180 CM DE LONGITUD Y BALÓN DE 8 CM DE LONGITUD. ESTÉRIL Y DESECHABLE. CALIBRE DEL CATÉTER: 54 FR. DIÁMETRO EXTERNO DE INFLADO DE BALÓN 15-16.5-18 MM. PIEZA. LAS UNIDADES MÉDICAS DEBERÁN SELECCIONAR LAS MEDIDAS DE ACUERDO A SUS NECESIDADES.</v>
          </cell>
          <cell r="U1684">
            <v>319</v>
          </cell>
          <cell r="V1684">
            <v>795</v>
          </cell>
        </row>
        <row r="1685">
          <cell r="A1685">
            <v>1682</v>
          </cell>
          <cell r="B1685" t="str">
            <v>060.165.0435</v>
          </cell>
          <cell r="E1685" t="str">
            <v>CATÉTER PARA DILATACIÓN DE ESÓFAGO DE 180 CM DE LONGITUD Y BALÓN DE 8 CM DE LONGITUD. ESTÉRIL Y DESECHABLE. CALIBRE DEL CATÉTER: 60 FR. DIÁMETRO EXTERNO DE INFLADO DE BALÓN 18-19-20 MM. PIEZA. LAS UNIDADES MÉDICAS DEBERÁN SELECCIONAR LAS MEDIDAS DE ACUERDO A SUS NECESIDADES.</v>
          </cell>
          <cell r="U1685">
            <v>360</v>
          </cell>
          <cell r="V1685">
            <v>898</v>
          </cell>
        </row>
        <row r="1686">
          <cell r="A1686">
            <v>1683</v>
          </cell>
          <cell r="B1686" t="str">
            <v>060.165.0443</v>
          </cell>
          <cell r="E1686" t="str">
            <v>CATÉTERES. CATÉTER PARA DILATACIÓN DE PÍLORO DE 180 CM DE LONGITUD Y BALÓN DE 5.5 CM DE LONGITUD. ESTÉRIL Y DESECHABLE. CALIBRE DEL CATÉTER: 18 FR. DIÁMETRO EXTERNO DE INFLADO DEL BALÓN 6-7-8 MM. PIEZA.</v>
          </cell>
          <cell r="U1686">
            <v>411</v>
          </cell>
          <cell r="V1686">
            <v>1025</v>
          </cell>
        </row>
        <row r="1687">
          <cell r="A1687">
            <v>1684</v>
          </cell>
          <cell r="B1687" t="str">
            <v>060.165.0450</v>
          </cell>
          <cell r="E1687" t="str">
            <v>CATÉTERES. CATÉTER PARA DILATACIÓN DE PÍLORO DE 180 CM DE LONGITUD Y BALÓN DE 5.5 CM DE LONGITUD. ESTÉRIL Y DESECHABLE. CALIBRE DEL CATÉTER: 24 FR. DIÁMETRO EXTERNO DE INFLADO DEL BALÓN 8-9-10 MM. PIEZA.</v>
          </cell>
          <cell r="U1687">
            <v>361</v>
          </cell>
          <cell r="V1687">
            <v>901</v>
          </cell>
        </row>
        <row r="1688">
          <cell r="A1688">
            <v>1685</v>
          </cell>
          <cell r="B1688" t="str">
            <v>060.165.0468</v>
          </cell>
          <cell r="E1688" t="str">
            <v>CATÉTERES. CATÉTER PARA DILATACIÓN DE PÍLORO DE 180 CM DE LONGITUD Y BALÓN DE 5.5 CM DE LONGITUD. ESTÉRIL Y DESECHABLE. CALIBRE DEL CATÉTER: 30 FR. DIÁMETRO EXTERNO DE INFLADO DEL BALÓN 10-11-12 MM. PIEZA.</v>
          </cell>
          <cell r="U1688">
            <v>206</v>
          </cell>
          <cell r="V1688">
            <v>514</v>
          </cell>
        </row>
        <row r="1689">
          <cell r="A1689">
            <v>1686</v>
          </cell>
          <cell r="B1689" t="str">
            <v>060.165.0476</v>
          </cell>
          <cell r="E1689" t="str">
            <v>Catéter para dilatación de píloro de 180 cm de longitud y balón de 5.5 cm de longitud. Estéril y desechable. Calibre del catéter: 36 Fr. Diámetro externo de inflado del balón 12-13.5-15 mm. Pieza. Las unidades médicas deberán seleccionar las medidas de acuerdo a sus necesidades.</v>
          </cell>
          <cell r="U1689">
            <v>496</v>
          </cell>
          <cell r="V1689">
            <v>1239</v>
          </cell>
        </row>
        <row r="1690">
          <cell r="A1690">
            <v>1687</v>
          </cell>
          <cell r="B1690" t="str">
            <v>060.165.0484</v>
          </cell>
          <cell r="E1690" t="str">
            <v>CATÉTER PARA DILATACIÓN DE PÍLORO DE 180 CM DE LONGITUD Y BALÓN DE 5.5 CM DE LONGITUD. ESTÉRIL Y DESECHABLE. CALIBRE DEL CATÉTER: 42 FR. DIÁMETRO EXTERNO DE INFLADO DEL BALÓN 12-13.5-15 MM. PIEZA. LAS UNIDADES MÉDICAS DEBERÁN SELECCIONAR LAS MEDIDAS DE ACUERDO A SUS NECESIDADES.</v>
          </cell>
          <cell r="U1690">
            <v>326</v>
          </cell>
          <cell r="V1690">
            <v>814</v>
          </cell>
        </row>
        <row r="1691">
          <cell r="A1691">
            <v>1688</v>
          </cell>
          <cell r="B1691" t="str">
            <v>060.165.0492</v>
          </cell>
          <cell r="E1691" t="str">
            <v>Catéter para dilatación de píloro de 180 cm de longitud y balón de 5.5 cm de longitud. Estéril y desechable. Calibre del catéter: 48 Fr. Diámetro externo de inflado del balón 15-16.5-18 mm. Pieza. Las unidades médicas deberán seleccionar las medidas de acuerdo a sus necesidades.</v>
          </cell>
          <cell r="U1691">
            <v>1403</v>
          </cell>
          <cell r="V1691">
            <v>3506</v>
          </cell>
        </row>
        <row r="1692">
          <cell r="A1692">
            <v>1689</v>
          </cell>
          <cell r="B1692" t="str">
            <v>060.165.0500</v>
          </cell>
          <cell r="E1692" t="str">
            <v>CATÉTER PARA DILATACIÓN DE PÍLORO DE 180 CM DE LONGITUD Y BALÓN DE 5.5 CM DE LONGITUD. ESTÉRIL Y DESECHABLE. CALIBRE DEL CATÉTER: 54 FR. DIÁMETRO EXTERNO DE INFLADO DEL BALÓN 15-16.5-18 MM. PIEZA. LAS UNIDADES MÉDICAS DEBERÁN SELECCIONAR LAS MEDIDAS DE ACUERDO A SUS NECESIDADES.</v>
          </cell>
          <cell r="U1692">
            <v>404</v>
          </cell>
          <cell r="V1692">
            <v>1009</v>
          </cell>
        </row>
        <row r="1693">
          <cell r="A1693">
            <v>1690</v>
          </cell>
          <cell r="B1693" t="str">
            <v>060.165.0518</v>
          </cell>
          <cell r="E1693" t="str">
            <v>Catéter para dilatación de píloro de 180 cm de longitud y balón de 5.5 cm de longitud. Estéril y desechable. Calibre del catéter: 60 Fr. Diámetro externo de inflado del balón 18-19-20 mm. Pieza. Las unidades médicas deberán seleccionar las medidas de acuerdo a sus necesidades.</v>
          </cell>
          <cell r="U1693">
            <v>108</v>
          </cell>
          <cell r="V1693">
            <v>269</v>
          </cell>
        </row>
        <row r="1694">
          <cell r="A1694">
            <v>1691</v>
          </cell>
          <cell r="B1694" t="str">
            <v>060.165.0542</v>
          </cell>
          <cell r="E1694" t="str">
            <v>CATETERES. CATETER CON CEPILLO PARA CITOLOGIA POR COLONOSCOPIA, CALIBRE DELCATETER 7 FR Y 240 CM DE LONGITUD DEL CATETER. ESTERIL Y DESECHABLE. DIAMETRODEL CEPILLO 3 MM. ENVASE CON 10 PIEZAS.</v>
          </cell>
          <cell r="U1694">
            <v>10</v>
          </cell>
          <cell r="V1694">
            <v>24</v>
          </cell>
        </row>
        <row r="1695">
          <cell r="A1695">
            <v>1692</v>
          </cell>
          <cell r="B1695" t="str">
            <v>060.165.0575</v>
          </cell>
          <cell r="E1695" t="str">
            <v>CATETERES. CATETER PARA MANOMETRIA ESOFAGICA, CALIBRE 3.5 MM Y 140 CM DELONGITUD, TAMAÑO PEDIATRICO. ESTERIL Y DESECHABLE. NO. DE CANALES: 4 SEPARACIONENTRE CADA PUERTO: 3 CM. PIEZA.</v>
          </cell>
          <cell r="U1695">
            <v>28</v>
          </cell>
          <cell r="V1695">
            <v>67</v>
          </cell>
        </row>
        <row r="1696">
          <cell r="A1696">
            <v>1693</v>
          </cell>
          <cell r="B1696" t="str">
            <v>060.165.0682</v>
          </cell>
          <cell r="E1696" t="str">
            <v>CATETER PARA CANULACION INTRATUBARIA PARA HISTEROSCOPIO. *ESPECIFICAR MARCA YMODELO DEL EQUIPO. MATERIAL PARA CIRUGIA MEDIANTE ENDOSCOPIOS.</v>
          </cell>
          <cell r="U1696">
            <v>176</v>
          </cell>
          <cell r="V1696">
            <v>439</v>
          </cell>
        </row>
        <row r="1697">
          <cell r="A1697">
            <v>1694</v>
          </cell>
          <cell r="B1697" t="str">
            <v>060.165.0690</v>
          </cell>
          <cell r="E1697" t="str">
            <v>Cánulas. Para drenaje torácico recta con marca radiopaca. Calibre: 10 Fr. Pieza.</v>
          </cell>
          <cell r="U1697">
            <v>3249</v>
          </cell>
          <cell r="V1697">
            <v>8122</v>
          </cell>
        </row>
        <row r="1698">
          <cell r="A1698">
            <v>1695</v>
          </cell>
          <cell r="B1698" t="str">
            <v>060.165.0708</v>
          </cell>
          <cell r="E1698" t="str">
            <v>Cánulas. Para drenaje torácico recta con marca radiopaca. Calibre: 12 Fr. Pieza.</v>
          </cell>
          <cell r="U1698">
            <v>1464</v>
          </cell>
          <cell r="V1698">
            <v>3656</v>
          </cell>
        </row>
        <row r="1699">
          <cell r="A1699">
            <v>1696</v>
          </cell>
          <cell r="B1699" t="str">
            <v>060.165.0716</v>
          </cell>
          <cell r="E1699" t="str">
            <v>Cánulas. Para drenaje torácico recta con marca radiopaca. Calibre: 14 Fr. Pieza.</v>
          </cell>
          <cell r="U1699">
            <v>3457</v>
          </cell>
          <cell r="V1699">
            <v>8642</v>
          </cell>
        </row>
        <row r="1700">
          <cell r="A1700">
            <v>1697</v>
          </cell>
          <cell r="B1700" t="str">
            <v>060.165.0724</v>
          </cell>
          <cell r="E1700" t="str">
            <v>INTRODUCTORES. DE ELASTÓMERO DE SILICÓN DE 1 LUMEN CALIBRE 4 FR Y 65 CM DE LONGITUD CON COJINETE DE POLIÉSTER CON CONECTOR LUER LOCK PINZA OBTURADORA Y CON INTRODUCTOR CALIBRE 2.5 A 3.0 FR. ESTÉRIL Y DESECHABLE. TIPO: HICKMAN. PIEZA.</v>
          </cell>
          <cell r="U1700">
            <v>94</v>
          </cell>
          <cell r="V1700">
            <v>234</v>
          </cell>
        </row>
        <row r="1701">
          <cell r="A1701">
            <v>1698</v>
          </cell>
          <cell r="B1701" t="str">
            <v>060.165.0732</v>
          </cell>
          <cell r="E1701" t="str">
            <v>INTRODUCTORES. DE ELASTÓMERO DE SILICÓN DE 2 LÚMENES CALIBRE 6 FR Y 65 CM DE LONGITUD CON COJINETE DE POLIÉSTER CON CONECTOR LUER LOCK PINZA OBTURADORA Y CON INTRODUCTOR. ESTÉRIL Y DESECHABLE. TIPO: HICKMAN. PIEZA.</v>
          </cell>
          <cell r="U1701">
            <v>189</v>
          </cell>
          <cell r="V1701">
            <v>471</v>
          </cell>
        </row>
        <row r="1702">
          <cell r="A1702">
            <v>1699</v>
          </cell>
          <cell r="B1702" t="str">
            <v>060.165.0740</v>
          </cell>
          <cell r="E1702" t="str">
            <v>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FR.PIEZA</v>
          </cell>
          <cell r="U1702">
            <v>4754</v>
          </cell>
          <cell r="V1702">
            <v>11884</v>
          </cell>
        </row>
        <row r="1703">
          <cell r="A1703">
            <v>1700</v>
          </cell>
          <cell r="B1703" t="str">
            <v>060.165.0757</v>
          </cell>
          <cell r="E1703" t="str">
            <v>Catéteres. Catéter venoso, subcutáneo, implantable, que contiene: Un contenedor metálico de titanio con membrana de silicón o poliuretano para puncionar y un catéter de elastómero de silicón, para la administración de bolo o infusión continua. Estéril y desechable. Calibre: 9 Fr. Pieza</v>
          </cell>
          <cell r="U1703">
            <v>8515</v>
          </cell>
          <cell r="V1703">
            <v>21287</v>
          </cell>
        </row>
        <row r="1704">
          <cell r="A1704">
            <v>1701</v>
          </cell>
          <cell r="B1704" t="str">
            <v>060.165.0815</v>
          </cell>
          <cell r="E1704" t="str">
            <v>CATETERES. PARA CATETERISMO VENOSO CENTRAL DE UN LUMEN DE ELASTOMERO DE SILICONRADIOPACO CON AGUJA INTRODUCTORA PERCUTANEA. ESTERIL Y DESECHABLE. NEONATAL.CALIBRE: 2.0 A 3.0 FR. PIEZA.</v>
          </cell>
          <cell r="U1704">
            <v>23790</v>
          </cell>
          <cell r="V1704">
            <v>59472</v>
          </cell>
        </row>
        <row r="1705">
          <cell r="A1705">
            <v>1702</v>
          </cell>
          <cell r="B1705" t="str">
            <v>060.165.0823</v>
          </cell>
          <cell r="E1705" t="str">
            <v>CATETERES. PARA CATETERISMO VENOSO CENTRAL DE UN LUMEN DE ELASTOMERO DE SILICONRADIOPACO CON AGUJA INTRODUCTORA PERCUTANEA. ESTERIL Y DESECHABLE. NEONATAL.CALIBRE: 4.0 FR. PIEZA.</v>
          </cell>
          <cell r="U1705">
            <v>6182</v>
          </cell>
          <cell r="V1705">
            <v>15454</v>
          </cell>
        </row>
        <row r="1706">
          <cell r="A1706">
            <v>1703</v>
          </cell>
          <cell r="B1706" t="str">
            <v>060.165.0831</v>
          </cell>
          <cell r="E1706" t="str">
            <v>CATETERES. PARA CATETERISMO VENOSO CENTRAL DE UN LUMEN DE ELASTOMERO DE SILICONRADIOPACO CON AGUJA INTRODUCTORA PERCUTANEA. ESTERIL Y DESECHABLE. NEONATAL.CALIBRE: 4.8 A 5.0 FR. PIEZA.</v>
          </cell>
          <cell r="U1706">
            <v>3790</v>
          </cell>
          <cell r="V1706">
            <v>9473</v>
          </cell>
        </row>
        <row r="1707">
          <cell r="A1707">
            <v>1704</v>
          </cell>
          <cell r="B1707" t="str">
            <v>060.165.0849</v>
          </cell>
          <cell r="E1707" t="str">
            <v>Catéteres. Para cateterismo venoso central de doble lumen de inserción periférica de poliuretano o elastómero de silicón con aguja introductora con funda o camisa desprendible. Estéril y desechable. Tamaño neonatal. Calibre 1.9 a 3.0 Fr. Pieza.</v>
          </cell>
          <cell r="U1707">
            <v>51112</v>
          </cell>
          <cell r="V1707">
            <v>127776</v>
          </cell>
        </row>
        <row r="1708">
          <cell r="A1708">
            <v>1705</v>
          </cell>
          <cell r="B1708" t="str">
            <v>060.165.0856</v>
          </cell>
          <cell r="E1708" t="str">
            <v>CATETERES. PARA DRENAJE TORACICO CON INTRODUCTOR Y MARCA RADIOPACA. ESTERIL YDESECHABLE. CALIBRE: 9.6 FR. PIEZA.</v>
          </cell>
          <cell r="U1708">
            <v>406</v>
          </cell>
          <cell r="V1708">
            <v>1013</v>
          </cell>
        </row>
        <row r="1709">
          <cell r="A1709">
            <v>1706</v>
          </cell>
          <cell r="B1709" t="str">
            <v>060.165.0864</v>
          </cell>
          <cell r="E1709" t="str">
            <v>Catéteres. Para drenaje torácico con introductor y marca radiopaca. Estéril y desechable. Calibre: 12.0 Fr. Pieza.</v>
          </cell>
          <cell r="U1709">
            <v>4301</v>
          </cell>
          <cell r="V1709">
            <v>10751</v>
          </cell>
        </row>
        <row r="1710">
          <cell r="A1710">
            <v>1707</v>
          </cell>
          <cell r="B1710" t="str">
            <v>060.165.0872</v>
          </cell>
          <cell r="E1710" t="str">
            <v>CATÉTERES. PARA DRENAJE TORÁCICO CON INTRODUCTOR Y MARCA RADIOPACA. ESTÉRIL Y DESECHABLE. CALIBRE: 14.0 FR. PIEZA.</v>
          </cell>
          <cell r="U1710">
            <v>1010</v>
          </cell>
          <cell r="V1710">
            <v>2522</v>
          </cell>
        </row>
        <row r="1711">
          <cell r="A1711">
            <v>1708</v>
          </cell>
          <cell r="B1711" t="str">
            <v>060.165.0914</v>
          </cell>
          <cell r="E1711" t="str">
            <v>CANULAS. PARA TRAQUEOSTOMIA. CONSTAN  DE  CIERRE  ROTATORIO  CON  TUBO  INTERIORINTERCAMBIABLE. TUBO EXTERIOR PILOTO Y TUBO INTERIOR CON VALVULA TUCKER DEPLATA. TIPO: JACKSON. CALIBRE 10 PIEZA.</v>
          </cell>
          <cell r="U1711">
            <v>555</v>
          </cell>
          <cell r="V1711">
            <v>1385</v>
          </cell>
        </row>
        <row r="1712">
          <cell r="A1712">
            <v>1709</v>
          </cell>
          <cell r="B1712" t="str">
            <v>060.165.0922</v>
          </cell>
          <cell r="E1712" t="str">
            <v>CATETERES. CATETER CON CEPILLO PARA CITOLOGIA POR GASTROSCOPIA, CALIBRE DELCATETER 5 FR Y 180 CM DE LONGITUD DEL CATETER. ESTERIL Y DESECHABLE. DIAMETRODEL CEPILLO: 2 MM. ENVASE CON 10 PIEZAS.</v>
          </cell>
          <cell r="U1712">
            <v>66</v>
          </cell>
          <cell r="V1712">
            <v>162</v>
          </cell>
        </row>
        <row r="1713">
          <cell r="A1713">
            <v>1710</v>
          </cell>
          <cell r="B1713" t="str">
            <v>060.165.0930</v>
          </cell>
          <cell r="E1713" t="str">
            <v>CATETERES. CATETER CON CEPILLO PARA CITOLOGIA POR GASTROSCOPIA, CALIBRE DELCATETER 5 FR Y 180 CM DE LONGITUD DEL CATETER. ESTERIL Y DESECHABLE. DIAMETRODEL CEPILLO: 3 MM. ENVASE CON 10 PIEZAS.</v>
          </cell>
          <cell r="U1713">
            <v>148</v>
          </cell>
          <cell r="V1713">
            <v>369</v>
          </cell>
        </row>
        <row r="1714">
          <cell r="A1714">
            <v>1711</v>
          </cell>
          <cell r="B1714" t="str">
            <v>060.165.1250</v>
          </cell>
          <cell r="E1714" t="str">
            <v>Oclusores. Dispositivo hemostático para cierre de punción vascular arterial periférica. Pieza.</v>
          </cell>
          <cell r="U1714">
            <v>1241</v>
          </cell>
          <cell r="V1714">
            <v>3101</v>
          </cell>
        </row>
        <row r="1715">
          <cell r="A1715">
            <v>1712</v>
          </cell>
          <cell r="B1715" t="str">
            <v>060.165.1268</v>
          </cell>
          <cell r="E1715" t="str">
            <v>CATÉTER PARA DILATACIÓN DE COLON CON 240 CM DE LONGITUD, LONGITUD DE 5.5 CM SOBRE LA GUÍA. BALÓN CON EXPANSIÓN CONTROLADA DE TRIPLE DIÁMETRO DE LAS DIMENSIONES SIGUIENTES EN MILÍMETROS: 6, 7, 8. PIEZA.</v>
          </cell>
          <cell r="U1715">
            <v>86</v>
          </cell>
          <cell r="V1715">
            <v>212</v>
          </cell>
        </row>
        <row r="1716">
          <cell r="A1716">
            <v>1713</v>
          </cell>
          <cell r="B1716" t="str">
            <v>060.165.1276</v>
          </cell>
          <cell r="E1716" t="str">
            <v>CATÉTER PARA DILATACIÓN DE COLON CON 240 CM DE LONGITUD, LONGITUD DE 5.5 CM SOBRE LA GUÍA. BALÓN CON EXPANSIÓN CONTROLADA DE TRIPLE DIÁMETRO DE LAS DIMENSIONES SIGUIENTES EN MILÍMETROS: 8, 9, 10. PIEZA.</v>
          </cell>
          <cell r="U1716">
            <v>1145</v>
          </cell>
          <cell r="V1716">
            <v>2861</v>
          </cell>
        </row>
        <row r="1717">
          <cell r="A1717">
            <v>1714</v>
          </cell>
          <cell r="B1717" t="str">
            <v>060.165.1284</v>
          </cell>
          <cell r="E1717" t="str">
            <v>CATÉTER PARA DILATACIÓN DE COLON CON 240 CM DE LONGITUD, LONGITUD DE 5.5 CM SOBRE LA GUÍA. BALÓN CON EXPANSIÓN CONTROLADA DE TRIPLE DIÁMETRO DE LAS DIMENSIONES SIGUIENTES EN MILÍMETROS: 10, 11, 12. PIEZA.</v>
          </cell>
          <cell r="U1717">
            <v>6641</v>
          </cell>
          <cell r="V1717">
            <v>16601</v>
          </cell>
        </row>
        <row r="1718">
          <cell r="A1718">
            <v>1715</v>
          </cell>
          <cell r="B1718" t="str">
            <v>060.165.1292</v>
          </cell>
          <cell r="E1718" t="str">
            <v>CATÉTER PARA DILATACIÓN DE COLON CON 240 CM DE LONGITUD, LONGITUD DE 5.5 CM SOBRE LA GUÍA. BALÓN CON EXPANSIÓN CONTROLADA DE TRIPLE DIÁMETRO DE LAS DIMENSIONES SIGUIENTES EN MILÍMETROS: 12, 13.5, 15. PIEZA.</v>
          </cell>
          <cell r="U1718">
            <v>6633</v>
          </cell>
          <cell r="V1718">
            <v>16581</v>
          </cell>
        </row>
        <row r="1719">
          <cell r="A1719">
            <v>1716</v>
          </cell>
          <cell r="B1719" t="str">
            <v>060.165.1300</v>
          </cell>
          <cell r="E1719" t="str">
            <v>CATÉTER PARA DILATACIÓN DE COLON CON 240 CM DE LONGITUD, LONGITUD DE 5.5 CM SOBRE LA GUÍA. BALÓN CON EXPANSIÓN CONTROLADA DE TRIPLE DIÁMETRO DE LAS DIMENSIONES SIGUIENTES EN MILÍMETROS: 15, 16.5, 18. PIEZA.</v>
          </cell>
          <cell r="U1719">
            <v>1963</v>
          </cell>
          <cell r="V1719">
            <v>4905</v>
          </cell>
        </row>
        <row r="1720">
          <cell r="A1720">
            <v>1717</v>
          </cell>
          <cell r="B1720" t="str">
            <v>060.165.1318</v>
          </cell>
          <cell r="E1720" t="str">
            <v>CATÉTER PARA DILATACIÓN DE COLON CON 240 CM DE LONGITUD, LONGITUD DE 5.5 CM SOBRE LA GUÍA. BALÓN CON EXPANSIÓN CONTROLADA DE TRIPLE DIÁMETRO DE LAS DIMENSIONES SIGUIENTES EN MILÍMETROS: 18, 19, 20. PIEZA.</v>
          </cell>
          <cell r="U1720">
            <v>1003</v>
          </cell>
          <cell r="V1720">
            <v>2507</v>
          </cell>
        </row>
        <row r="1721">
          <cell r="A1721">
            <v>1718</v>
          </cell>
          <cell r="B1721" t="str">
            <v>060.165.1334</v>
          </cell>
          <cell r="E1721" t="str">
            <v>CATETERES. PARA ANGIOPLASTIA CORONARIA CON PERFIL DISTAL DE 3.3 FR O MENOR YLONGITUD DE GLOBO DE 30 MM SISTEMA SOBRE LA GUIA. DIAMETRO DEL GLOBO: 1.5 A 4.0MM. PIEZA.</v>
          </cell>
          <cell r="U1721">
            <v>19</v>
          </cell>
          <cell r="V1721">
            <v>46</v>
          </cell>
        </row>
        <row r="1722">
          <cell r="A1722">
            <v>1719</v>
          </cell>
          <cell r="B1722" t="str">
            <v>060.165.1342</v>
          </cell>
          <cell r="E1722" t="str">
            <v>CATETERES. PARA ANGIOPLASTIA CORONARIA CON PERFIL DISTAL DE 3.3 FR O MENOR YLONGITUD DEL GLOBO DE 15 MM O MENOR. SISTEMA DE INTERCAMBIO RAPIDO. DIAMETRO DELGLOBO: 1.5 A 4.0 MM. PIEZA.</v>
          </cell>
          <cell r="U1722">
            <v>204</v>
          </cell>
          <cell r="V1722">
            <v>508</v>
          </cell>
        </row>
        <row r="1723">
          <cell r="A1723">
            <v>1720</v>
          </cell>
          <cell r="B1723" t="str">
            <v>060.165.1359</v>
          </cell>
          <cell r="E1723" t="str">
            <v>CATETERES. CATETER DE DOBLE LUMEN CON RANURAS, MANGUITO IMPREGNADO EN PLATA YREVESTIMIENTO DE HEPARINA PARA HEMODIALISIS DE TAMAÑO ADULTO. KIT DE CATETERPERMANENTE PARA HEMODIALISIS TAMAÑO ADULTO DE DOBLE LUMEN, CALIBRE 14.5 FR. CONLONGITUDES DE IMPLANTE DE 19 A 33 CM. LONGITUD DEL CATETER DE 36 A 50 CMMATERIAL DE URETANO CON COJINETE DE POLIESTER, EXTENSIONES DOBLES CON PINZAS DEALTA RESISTENCIA, MANGUILLA IMPREGNADA EN PLATA ANTIMICROBIAL, SITUADO ENTRE ELEJE DEL DISPOSITIVO Y EL COJINETE. LA SUPERFICIE EXTERNA (DE COJINETE A PUNTA) EINTERNA (TODO EL LUMEN) DEL CATETER. INCLUYE REVESTIMIENTO DE HEPARINA NOELUYENTE. DISEÑO DE LA PUNTA: SIMETRICA EN ESPIRAL, CON ORIFICIOS LATERALES ENCORTE LASER, UNO EN LA PARED ARTERIAL Y UNO EN LA PARED VENOSA. EXTENSIONESRECTAS DE SILICON, CON INDICADORES DE COLOR ROJO Y AZUL. INCLUYE EQUIPOINTRODUCTOR, EL CUAL CONTIENE: CATETER DOBLE LUMEN 14.5 FR., AGUJA INTRODUCTORACALIBRE 18G, INTRODUCTOR CON CAMISA DESPRENDIBLE CON VALVULA ANTIRREFLUJO,ESTILETES DE INSERCION (2), TUNELIZADOR BIFURCADO, GUIA DE ALAMBRE DE 0.038PULGADAS, JERINGA DE 12CC Y DILATADORES DE TEJIDO DE 12 FR. Y 14 FR., TAPONES DESELLADO, BISTURI 11, 2 APOSITOS POSTQUIRURGICOS CON BORDE ADHESIVO, 4 GASAS DEALGODON 4X4 PULGADAS. LAS UNIDADES MEDICAS SELECCIONARAN LA LONGITUD ADECUADA DEACUERDO A SUS NECESIDADES.</v>
          </cell>
          <cell r="U1723">
            <v>424</v>
          </cell>
          <cell r="V1723">
            <v>1056</v>
          </cell>
        </row>
        <row r="1724">
          <cell r="A1724">
            <v>1721</v>
          </cell>
          <cell r="B1724" t="str">
            <v>060.166.0103</v>
          </cell>
          <cell r="E1724" t="str">
            <v>Catéteres. Para venoclisis. De Fluoropolímeros (Politetrafluoretileno Fluoretilenpropileno y Etilentrifluoretileno) o poliuretano radiopaco con aguja. Longitud: 17-24 mm Calibre: 24 G. Envase con 50 piezas.*Para la adquisición de estas claves deberá acatarse el material específico que solicite cada institución.</v>
          </cell>
          <cell r="U1724">
            <v>143031</v>
          </cell>
          <cell r="V1724">
            <v>357574</v>
          </cell>
        </row>
        <row r="1725">
          <cell r="A1725">
            <v>1722</v>
          </cell>
          <cell r="B1725" t="str">
            <v>060.166.0228</v>
          </cell>
          <cell r="E1725" t="str">
            <v>Tubos. Endotraqueales sin globo. De cloruro de polivinilo transparente graduados con marca radiopaca estériles y desechables. Diámetro Interno: 3.0 mm Calibre: 12 Fr. Pieza</v>
          </cell>
          <cell r="U1725">
            <v>88722</v>
          </cell>
          <cell r="V1725">
            <v>221805</v>
          </cell>
        </row>
        <row r="1726">
          <cell r="A1726">
            <v>1723</v>
          </cell>
          <cell r="B1726" t="str">
            <v>060.166.0236</v>
          </cell>
          <cell r="E1726" t="str">
            <v>Tubos. Endotraqueales sin globo. De cloruro de polivinilo transparente graduados con marca radiopaca estériles y desechables. Diámetro Interno: 3.5 mm Calibre: 14 Fr. Pieza</v>
          </cell>
          <cell r="U1726">
            <v>85981</v>
          </cell>
          <cell r="V1726">
            <v>214951</v>
          </cell>
        </row>
        <row r="1727">
          <cell r="A1727">
            <v>1724</v>
          </cell>
          <cell r="B1727" t="str">
            <v>060.166.0244</v>
          </cell>
          <cell r="E1727" t="str">
            <v>Tubos. Endotraqueales sin globo. De cloruro de polivinilo transparente graduados con marca radiopaca estériles y desechables. Diámetro Interno: 4.0 mm Calibre: 16 Fr. Pieza</v>
          </cell>
          <cell r="U1727">
            <v>63289</v>
          </cell>
          <cell r="V1727">
            <v>158221</v>
          </cell>
        </row>
        <row r="1728">
          <cell r="A1728">
            <v>1725</v>
          </cell>
          <cell r="B1728" t="str">
            <v>060.166.0251</v>
          </cell>
          <cell r="E1728" t="str">
            <v>Tubos. Endotraqueales sin globo. De cloruro de polivinilo transparente graduados con marca radiopaca estériles y desechables. Diámetro Interno: 4.5 mm Calibre: 18 Fr. Pieza</v>
          </cell>
          <cell r="U1728">
            <v>50840</v>
          </cell>
          <cell r="V1728">
            <v>127097</v>
          </cell>
        </row>
        <row r="1729">
          <cell r="A1729">
            <v>1726</v>
          </cell>
          <cell r="B1729" t="str">
            <v>060.166.0269</v>
          </cell>
          <cell r="E1729" t="str">
            <v>TUBOS. ENDOTRAQUEALES SIN GLOBO. DE CLORURO DE POLIVINILO TRANSPARENTE GRADUADOSCON MARCA RADIOPACA ESTERILES Y DESECHABLES. DIAMETRO INTERNO: 5.0 MM CALIBRE:20 FR. PIEZA.</v>
          </cell>
          <cell r="U1729">
            <v>7578</v>
          </cell>
          <cell r="V1729">
            <v>18942</v>
          </cell>
        </row>
        <row r="1730">
          <cell r="A1730">
            <v>1727</v>
          </cell>
          <cell r="B1730" t="str">
            <v>060.166.0277</v>
          </cell>
          <cell r="E1730" t="str">
            <v>TUBOS. ENDOTRAQUEALES SIN GLOBO. DE CLORURO DE POLIVINILO TRANSPARENTE GRADUADOSCON MARCA RADIOPACA ESTERILES Y DESECHABLES. DIAMETRO INTERNO: 5.5 MM CALIBRE:22 FR. PIEZA.</v>
          </cell>
          <cell r="U1730">
            <v>10443</v>
          </cell>
          <cell r="V1730">
            <v>26106</v>
          </cell>
        </row>
        <row r="1731">
          <cell r="A1731">
            <v>1728</v>
          </cell>
          <cell r="B1731" t="str">
            <v>060.166.0285</v>
          </cell>
          <cell r="E1731" t="str">
            <v>TUBOS. ENDOTRAQUEALES SIN GLOBO. DE CLORURO DE POLIVINILO TRANSPARENTE GRADUADOSCON MARCA RADIOPACA ESTERILES Y DESECHABLES. DIAMETRO INTERNO: 6.0 MM CALIBRE:24 FR. PIEZA.</v>
          </cell>
          <cell r="U1731">
            <v>7957</v>
          </cell>
          <cell r="V1731">
            <v>19891</v>
          </cell>
        </row>
        <row r="1732">
          <cell r="A1732">
            <v>1729</v>
          </cell>
          <cell r="B1732" t="str">
            <v>060.166.0293</v>
          </cell>
          <cell r="E1732" t="str">
            <v>Tubos. Endotraqueales sin globo. De cloruro de polivinilo transparente graduados con marca radiopaca estériles y desechables. Diámetro Interno: 6.5 mm Calibre: 26 Fr. Pieza</v>
          </cell>
          <cell r="U1732">
            <v>23566</v>
          </cell>
          <cell r="V1732">
            <v>58913</v>
          </cell>
        </row>
        <row r="1733">
          <cell r="A1733">
            <v>1730</v>
          </cell>
          <cell r="B1733" t="str">
            <v>060.166.0301</v>
          </cell>
          <cell r="E1733" t="str">
            <v>CANULAS. PARA TRAQUEOSTOMIA PEDIATRICA DE CLORURO DE POLIVINILO SIN GLOBORADIOPACA CON CONECTOR INCLUIDO CON ENTRADA DE 15 MM SIN ENDOCANULA CONOBTURADOR Y CINTA DE FIJACION. ESTERIL Y DESECHABLE. DIAMETRO INTERNO: 3.0 MM+/- 0.15 MM. DIAMETRO EXTERNO: 5.0 MM +/- 0.5 MM. LONGITUD: 37 MM +/- 5 MM.PIEZA.</v>
          </cell>
          <cell r="U1733">
            <v>890</v>
          </cell>
          <cell r="V1733">
            <v>2223</v>
          </cell>
        </row>
        <row r="1734">
          <cell r="A1734">
            <v>1731</v>
          </cell>
          <cell r="B1734" t="str">
            <v>060.166.0426</v>
          </cell>
          <cell r="E1734" t="str">
            <v>CATETERES. PARA ANGIOGRAFIA CEREBRAL DE NYLON O POLITETRAFLUORETILENO. DIAMETROINTERNO: 0.035 PULGADAS. ESTERIL Y DESECHABLE. TIPO: HEAD HUNTER. LONGITUD: 100CM. CALIBRE: 5 FR. CURVA: 1. PIEZA.</v>
          </cell>
          <cell r="U1734">
            <v>1036</v>
          </cell>
          <cell r="V1734">
            <v>2586</v>
          </cell>
        </row>
        <row r="1735">
          <cell r="A1735">
            <v>1732</v>
          </cell>
          <cell r="B1735" t="str">
            <v>060.166.0467</v>
          </cell>
          <cell r="E1735" t="str">
            <v>CATETERES. PARA ANGIOGRAFIA CEREBRAL DE NYLON O POLITETRAFLUORETILENO DIAMETROINTERNO: 0.035 PULGADAS. ESTERIL Y DESECHABLE. TIPO SIMMONS. LONGITUD: 100 CM.CALIBRE: 4 FR. CURVA: 2. PIEZA.</v>
          </cell>
          <cell r="U1735">
            <v>481</v>
          </cell>
          <cell r="V1735">
            <v>1202</v>
          </cell>
        </row>
        <row r="1736">
          <cell r="A1736">
            <v>1733</v>
          </cell>
          <cell r="B1736" t="str">
            <v>060.166.0475</v>
          </cell>
          <cell r="E1736" t="str">
            <v>CATETERES. PARA ANGIOGRAFIA CEREBRAL DE NYLON O POLITETRAFLUORETILENO DIAMETROINTERNO: 0.035 PULGADAS. ESTERIL Y DESECHABLE. TIPO SIMMONS. LONGITUD: 100 CM.CALIBRE: 5 FR CURVA: 2. PIEZA.</v>
          </cell>
          <cell r="U1736">
            <v>492</v>
          </cell>
          <cell r="V1736">
            <v>1229</v>
          </cell>
        </row>
        <row r="1737">
          <cell r="A1737">
            <v>1734</v>
          </cell>
          <cell r="B1737" t="str">
            <v>060.166.0483</v>
          </cell>
          <cell r="E1737" t="str">
            <v>CATETERES. PARA ANGIOGRAFIA CEREBRAL DE NYLON O POLITETRAFLUORETILENO DIAMETROINTERNO: 0.035 PULGADAS. ESTERIL Y DESECHABLE. TIPO SIMMONS. LONGITUD: 100 CM.CALIBRE: 4 FR. CURVA: 1. PIEZA.</v>
          </cell>
          <cell r="U1737">
            <v>442</v>
          </cell>
          <cell r="V1737">
            <v>1102</v>
          </cell>
        </row>
        <row r="1738">
          <cell r="A1738">
            <v>1735</v>
          </cell>
          <cell r="B1738" t="str">
            <v>060.166.0491</v>
          </cell>
          <cell r="E1738" t="str">
            <v>CATETERES. PARA ANGIOGRAFIA CEREBRAL DE NYLON O POLITETRAFLUORETILENO DIAMETROINTERNO: 0.035 PULGADAS. ESTERIL Y DESECHABLE. TIPO SIMMONS. LONGITUD: 100 CM.CALIBRE: 5 FR. CURVA: 1. PIEZA.</v>
          </cell>
          <cell r="U1738">
            <v>247</v>
          </cell>
          <cell r="V1738">
            <v>615</v>
          </cell>
        </row>
        <row r="1739">
          <cell r="A1739">
            <v>1736</v>
          </cell>
          <cell r="B1739" t="str">
            <v>060.166.0533</v>
          </cell>
          <cell r="E1739" t="str">
            <v>Catéter permanente, para hemodiálisis. Tamaño adulto. De doble lumen, de elastómero de silicón, con diámetros internos de 1.80 mm a 2.0 mm en el lado arterial y de 2.0 mm a 3.20 mm en el lado venoso, con longitud de 31.5 a 37.0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v>
          </cell>
          <cell r="U1739">
            <v>5969</v>
          </cell>
          <cell r="V1739">
            <v>14922</v>
          </cell>
        </row>
        <row r="1740">
          <cell r="A1740">
            <v>1737</v>
          </cell>
          <cell r="B1740" t="str">
            <v>060.166.0541</v>
          </cell>
          <cell r="E1740" t="str">
            <v>CATETERES. CATETER PERMANENTE, PARA  HEMODIALISIS. TAMAÑO PEDIATRICO. DE DOBLELUMEN, DE ELASTOMERO DE SILICON, CON DIAMETRO INTERNO DE 1.5 MM A 2.0 MM EN ELLADO ARTERIAL Y DE 1.5 MM A 1.2 MM EN EL LADO VENOSO, CON LONGITUD DE 27.0 CM A30.0 CM CON SEPARACION MINIMA DE 2.5 CM ENTRE SEGMENTO ARTERIAL Y VENOSO, CON UNORIFICIO LATERAL COMO MINIMO EN LA PARED ARTERIAL, CON EXTENSIONES Y PINZAS DEALTA  RESISTENCIA, INCLUYE EQUIPO  INTRODUCTOR  EL  CUAL CONTIENE: CATETER DEDOBLE LUMEN. AGUJA INTRODUCTORA CALIBRE 18 G. INTRODUCTOR CON CAMISADESPRENDIBLE. GUIA DE ALAMBRE DE 0.038 PULGADAS, CON LONGITUD DE 68.0 CM COMOMINIMO. JERINGA DE 5 ML Y 2 TAPONES DE INYECCION. ESTERIL Y DESECHABLE. PIEZA.</v>
          </cell>
          <cell r="U1740">
            <v>144</v>
          </cell>
          <cell r="V1740">
            <v>359</v>
          </cell>
        </row>
        <row r="1741">
          <cell r="A1741">
            <v>1738</v>
          </cell>
          <cell r="B1741" t="str">
            <v>060.166.0558</v>
          </cell>
          <cell r="E1741" t="str">
            <v>Cánulas. Para aspiración manual endouterina de polietileno flexible estéril y desechable. Diámetro: 4 mm. Color: Amarillo. Pieza.</v>
          </cell>
          <cell r="U1741">
            <v>6291</v>
          </cell>
          <cell r="V1741">
            <v>15725</v>
          </cell>
        </row>
        <row r="1742">
          <cell r="A1742">
            <v>1739</v>
          </cell>
          <cell r="B1742" t="str">
            <v>060.166.0566</v>
          </cell>
          <cell r="E1742" t="str">
            <v>Cánulas. Para aspiración manual endouterina de polietileno flexible estéril y desechable. Diámetro: 5 mm. Color: Verde. Pieza.</v>
          </cell>
          <cell r="U1742">
            <v>7654</v>
          </cell>
          <cell r="V1742">
            <v>19133</v>
          </cell>
        </row>
        <row r="1743">
          <cell r="A1743">
            <v>1740</v>
          </cell>
          <cell r="B1743" t="str">
            <v>060.166.0574</v>
          </cell>
          <cell r="E1743" t="str">
            <v>Cánulas. Para aspiración manual endouterina de polietileno flexible estéril y desechable. Diámetro: 6 mm. Color: Azul. Pieza.</v>
          </cell>
          <cell r="U1743">
            <v>7540</v>
          </cell>
          <cell r="V1743">
            <v>18849</v>
          </cell>
        </row>
        <row r="1744">
          <cell r="A1744">
            <v>1741</v>
          </cell>
          <cell r="B1744" t="str">
            <v>060.166.0582</v>
          </cell>
          <cell r="E1744" t="str">
            <v>Cánulas. Para aspiración manual endouterina de polietileno flexible estéril y desechable. Diámetro: 7 mm. Color: Café claro. Pieza.</v>
          </cell>
          <cell r="U1744">
            <v>9177</v>
          </cell>
          <cell r="V1744">
            <v>22941</v>
          </cell>
        </row>
        <row r="1745">
          <cell r="A1745">
            <v>1742</v>
          </cell>
          <cell r="B1745" t="str">
            <v>060.166.0590</v>
          </cell>
          <cell r="E1745" t="str">
            <v>Cánulas. Para aspiración manual endouterina de polietileno flexible estéril y desechable. Diámetro: 8 mm. Color: Marfil. Pieza.</v>
          </cell>
          <cell r="U1745">
            <v>7129</v>
          </cell>
          <cell r="V1745">
            <v>17820</v>
          </cell>
        </row>
        <row r="1746">
          <cell r="A1746">
            <v>1743</v>
          </cell>
          <cell r="B1746" t="str">
            <v>060.166.0608</v>
          </cell>
          <cell r="E1746" t="str">
            <v>Cánulas. Para aspiración manual endouterina de polietileno flexible estéril y desechable. Diámetro: 9 mm. Color: Café oscuro. Pieza.</v>
          </cell>
          <cell r="U1746">
            <v>6537</v>
          </cell>
          <cell r="V1746">
            <v>16340</v>
          </cell>
        </row>
        <row r="1747">
          <cell r="A1747">
            <v>1744</v>
          </cell>
          <cell r="B1747" t="str">
            <v>060.166.0616</v>
          </cell>
          <cell r="E1747" t="str">
            <v>Cánulas. Para aspiración manual endouterina de polietileno flexible estéril y desechable. Diámetro: 10 mm. Color: Verde seco. Pieza.</v>
          </cell>
          <cell r="U1747">
            <v>6135</v>
          </cell>
          <cell r="V1747">
            <v>15336</v>
          </cell>
        </row>
        <row r="1748">
          <cell r="A1748">
            <v>1745</v>
          </cell>
          <cell r="B1748" t="str">
            <v>060.166.0624</v>
          </cell>
          <cell r="E1748" t="str">
            <v>Cánulas. Para aspiración manual endouterina de polietileno flexible estéril y desechable. Diámetro: 12 mm. Color: Azul oscuro. Pieza.</v>
          </cell>
          <cell r="U1748">
            <v>5903</v>
          </cell>
          <cell r="V1748">
            <v>14754</v>
          </cell>
        </row>
        <row r="1749">
          <cell r="A1749">
            <v>1746</v>
          </cell>
          <cell r="B1749" t="str">
            <v>060.166.0640</v>
          </cell>
          <cell r="E1749" t="str">
            <v>Sondas. Para esófago. De tres vías punta cerrada con cuatro orificios de látex con arillo radiopaco. Estéril y desechable. Tipo: sengstaken blakemore. Longitud: 65 cm. Calibre: 14 Fr. Pieza.</v>
          </cell>
          <cell r="U1749">
            <v>1164</v>
          </cell>
          <cell r="V1749">
            <v>2909</v>
          </cell>
        </row>
        <row r="1750">
          <cell r="A1750">
            <v>1747</v>
          </cell>
          <cell r="B1750" t="str">
            <v>060.166.0657</v>
          </cell>
          <cell r="E1750" t="str">
            <v>Sondas. Para esófago. De tres vías punta cerrada con cuatro orificios de látex con arillo radiopaco. Estéril y desechable. Tipo: sengstaken blakemore. Longitud: 100 cm. Calibre: 16 Fr. Pieza.</v>
          </cell>
          <cell r="U1750">
            <v>3409</v>
          </cell>
          <cell r="V1750">
            <v>8521</v>
          </cell>
        </row>
        <row r="1751">
          <cell r="A1751">
            <v>1748</v>
          </cell>
          <cell r="B1751" t="str">
            <v>060.166.1325</v>
          </cell>
          <cell r="E1751" t="str">
            <v>CATETERES. COLA DE COCHINO DE POLIURETANO RADIOPACO. LONGITUD: 30 CM CALIBRE: 10FR. PIEZA.</v>
          </cell>
          <cell r="U1751">
            <v>12</v>
          </cell>
          <cell r="V1751">
            <v>26</v>
          </cell>
        </row>
        <row r="1752">
          <cell r="A1752">
            <v>1749</v>
          </cell>
          <cell r="B1752" t="str">
            <v>060.166.1465</v>
          </cell>
          <cell r="E1752" t="str">
            <v>CATETERES GUIA PARA ANGIOPLASTIA CORONARIA, MULTIPROPOSITO, CURVA B, CONORIFICIOS LATERALES. LONGITUD: 100 CM CALIBRE: 8 FR. PIEZA.</v>
          </cell>
          <cell r="U1752">
            <v>118</v>
          </cell>
          <cell r="V1752">
            <v>293</v>
          </cell>
        </row>
        <row r="1753">
          <cell r="A1753">
            <v>1750</v>
          </cell>
          <cell r="B1753" t="str">
            <v>060.166.1523</v>
          </cell>
          <cell r="E1753" t="str">
            <v>Catéteres. Ureteral doble "J"de poliuretano o copolímero olefínico en bloque radiopaco Longitud: 24 cm. Calibre: 5 Fr. (Repuesto de la clave 060.345.0586 del catálogo de material de curación). Pieza.</v>
          </cell>
          <cell r="U1753">
            <v>1401</v>
          </cell>
          <cell r="V1753">
            <v>3502</v>
          </cell>
        </row>
        <row r="1754">
          <cell r="A1754">
            <v>1751</v>
          </cell>
          <cell r="B1754" t="str">
            <v>060.166.1531</v>
          </cell>
          <cell r="E1754" t="str">
            <v>Catéteres. Ureteral doble "J" de poliuretano o copolímero olefínico en bloque radiopaco Longitud: 26 cm. Calibre: 5 Fr. (Repuesto de la clave 060.345.0594 del catálogo de material de curación). Pieza.</v>
          </cell>
          <cell r="U1754">
            <v>2486</v>
          </cell>
          <cell r="V1754">
            <v>6213</v>
          </cell>
        </row>
        <row r="1755">
          <cell r="A1755">
            <v>1752</v>
          </cell>
          <cell r="B1755" t="str">
            <v>060.166.1549</v>
          </cell>
          <cell r="E1755" t="str">
            <v>Catéteres. Ureteral doble "J" de poliuretano o copolímero olefínico en bloque radiopaco Longitud: 24 cm. Calibre: 6 Fr. (Repuesto de la clave 060.345.0743 del catálogo de material de curación). Pieza.</v>
          </cell>
          <cell r="U1755">
            <v>8975</v>
          </cell>
          <cell r="V1755">
            <v>22435</v>
          </cell>
        </row>
        <row r="1756">
          <cell r="A1756">
            <v>1753</v>
          </cell>
          <cell r="B1756" t="str">
            <v>060.166.1564</v>
          </cell>
          <cell r="E1756" t="str">
            <v>Catéteres. Ureteral doble "J" de poliuretano o copolímero olefínico en bloque radiopaco Longitud: 24 cm. Calibre: 7 Fr. (Repuesto de la clave 060.345.0982 del catálogo de material de curación). Pieza.</v>
          </cell>
          <cell r="U1756">
            <v>1476</v>
          </cell>
          <cell r="V1756">
            <v>3688</v>
          </cell>
        </row>
        <row r="1757">
          <cell r="A1757">
            <v>1754</v>
          </cell>
          <cell r="B1757" t="str">
            <v>060.166.1572</v>
          </cell>
          <cell r="E1757" t="str">
            <v>Catéteres. Ureteral doble "J" de poliuretano o copolímero olefínico en bloque radiopaco Longitud: 26 cm. Calibre: 7 Fr. (Repuesto de la clave 060.345.0990 del catálogo de material de curación). Pieza.</v>
          </cell>
          <cell r="U1757">
            <v>1333</v>
          </cell>
          <cell r="V1757">
            <v>3332</v>
          </cell>
        </row>
        <row r="1758">
          <cell r="A1758">
            <v>1755</v>
          </cell>
          <cell r="B1758" t="str">
            <v>060.166.1622</v>
          </cell>
          <cell r="E1758" t="str">
            <v>CANULAS PARA DRENAJE TORACICO. ANGULADA CON MARCA RADIOPACA. LONGITUD: 45 CM.CALIBRE: 20 FR. PIEZA.</v>
          </cell>
          <cell r="U1758">
            <v>976</v>
          </cell>
          <cell r="V1758">
            <v>2439</v>
          </cell>
        </row>
        <row r="1759">
          <cell r="A1759">
            <v>1756</v>
          </cell>
          <cell r="B1759" t="str">
            <v>060.166.1630</v>
          </cell>
          <cell r="E1759" t="str">
            <v>Cánula. Para drenaje torácico. Angulada con marca radiopaca. Longitud: 45 cm. Calibre: 28 Fr. Pieza</v>
          </cell>
          <cell r="U1759">
            <v>2403</v>
          </cell>
          <cell r="V1759">
            <v>6005</v>
          </cell>
        </row>
        <row r="1760">
          <cell r="A1760">
            <v>1757</v>
          </cell>
          <cell r="B1760" t="str">
            <v>060.166.1648</v>
          </cell>
          <cell r="E1760" t="str">
            <v>CANULAS PARA DRENAJE TORACICO. ANGULADA CON MARCA RADIOPACA. LONGITUD: 45CM.CALIBRE: 36 FR. PIEZA.</v>
          </cell>
          <cell r="U1760">
            <v>2651</v>
          </cell>
          <cell r="V1760">
            <v>6626</v>
          </cell>
        </row>
        <row r="1761">
          <cell r="A1761">
            <v>1758</v>
          </cell>
          <cell r="B1761" t="str">
            <v>060.166.1655</v>
          </cell>
          <cell r="E1761" t="str">
            <v>CANULAS PARA DRENAJE TORACICO. ANGULADA CON MARCA RADIOPACA LONGITUD: 45CM.CALIBRE: 40 FR. PIEZA.</v>
          </cell>
          <cell r="U1761">
            <v>1063</v>
          </cell>
          <cell r="V1761">
            <v>2655</v>
          </cell>
        </row>
        <row r="1762">
          <cell r="A1762">
            <v>1759</v>
          </cell>
          <cell r="B1762" t="str">
            <v>060.166.1663</v>
          </cell>
          <cell r="E1762" t="str">
            <v>Cánula. Para drenaje torácico. Recta con marca radiopaca. Longitud: 45 cm. Calibre: 20 Fr. Pieza.</v>
          </cell>
          <cell r="U1762">
            <v>2243</v>
          </cell>
          <cell r="V1762">
            <v>5604</v>
          </cell>
        </row>
        <row r="1763">
          <cell r="A1763">
            <v>1760</v>
          </cell>
          <cell r="B1763" t="str">
            <v>060.166.1671</v>
          </cell>
          <cell r="E1763" t="str">
            <v>Cánula. Para drenaje torácico. Recta con marca radiopaca. Longitud: 45 cm. Calibre: 36 Fr. Pieza.</v>
          </cell>
          <cell r="U1763">
            <v>10925</v>
          </cell>
          <cell r="V1763">
            <v>27311</v>
          </cell>
        </row>
        <row r="1764">
          <cell r="A1764">
            <v>1761</v>
          </cell>
          <cell r="B1764" t="str">
            <v>060.166.1689</v>
          </cell>
          <cell r="E1764" t="str">
            <v>Cánula. Para drenaje torácico. Recta con marca radiopaca. Longitud: 45 cm. Calibre: 40 Fr. Pieza.</v>
          </cell>
          <cell r="U1764">
            <v>5851</v>
          </cell>
          <cell r="V1764">
            <v>14627</v>
          </cell>
        </row>
        <row r="1765">
          <cell r="A1765">
            <v>1762</v>
          </cell>
          <cell r="B1765" t="str">
            <v>060.166.1861</v>
          </cell>
          <cell r="E1765" t="str">
            <v>CANULA SIMCOE CURVA DE DOBLEVIA, CON TUBO DE  ELASTOMERODE SILICON Y CONEXION AJERINGA INVERSA, REUSABLE.</v>
          </cell>
          <cell r="U1765">
            <v>45</v>
          </cell>
          <cell r="V1765">
            <v>111</v>
          </cell>
        </row>
        <row r="1766">
          <cell r="A1766">
            <v>1763</v>
          </cell>
          <cell r="B1766" t="str">
            <v>060.166.1887</v>
          </cell>
          <cell r="E1766" t="str">
            <v>Catéteres. Para cateterismo de venas centrales y periféricas de silicón radio paco estéril y desechable calibre 21 G con aguja de pared delgada calibre 18 G y 50 cm de longitud con mandril entorchado elástico y adaptador. Pieza.</v>
          </cell>
          <cell r="U1766">
            <v>1502</v>
          </cell>
          <cell r="V1766">
            <v>3753</v>
          </cell>
        </row>
        <row r="1767">
          <cell r="A1767">
            <v>1764</v>
          </cell>
          <cell r="B1767" t="str">
            <v>060.166.1903</v>
          </cell>
          <cell r="E1767" t="str">
            <v>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v>
          </cell>
          <cell r="U1767">
            <v>41737</v>
          </cell>
          <cell r="V1767">
            <v>104342</v>
          </cell>
        </row>
        <row r="1768">
          <cell r="A1768">
            <v>1765</v>
          </cell>
          <cell r="B1768" t="str">
            <v>060.166.1911</v>
          </cell>
          <cell r="E1768" t="str">
            <v>Catéteres. Catéter venoso central, calibre 5 Fr y 13 0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v>
          </cell>
          <cell r="U1768">
            <v>33317</v>
          </cell>
          <cell r="V1768">
            <v>83291</v>
          </cell>
        </row>
        <row r="1769">
          <cell r="A1769">
            <v>1766</v>
          </cell>
          <cell r="B1769" t="str">
            <v>060.166.2083</v>
          </cell>
          <cell r="E1769" t="str">
            <v>CATETERES. PARA DIALISIS PERITONEAL DE INSTALACION SUBCUTANEA BLANDO DE SILICONCON 2 COJINETES DE POLIESTER CON CONECTOR TAPON Y SEGURO CON BANDA RADIOPACA.ESTERIL Y DESECHABLE. TIPO: CUELLO DE CISNE. TAMAÑO PEDIATRICO. PIEZA.</v>
          </cell>
          <cell r="U1769">
            <v>48</v>
          </cell>
          <cell r="V1769">
            <v>120</v>
          </cell>
        </row>
        <row r="1770">
          <cell r="A1770">
            <v>1767</v>
          </cell>
          <cell r="B1770" t="str">
            <v>060.166.2091</v>
          </cell>
          <cell r="E1770" t="str">
            <v>CATETERES. PARA DIALISIS PERITONEAL DE INSTALACION SUBCUTANEA BLANDO DE SILICONCON 2 COJINETES DE POLIESTER CON CONECTOR TAPON Y SEGURO CON BANDA RADIOPACA.ESTERIL Y DESECHABLE. TIPO: CUELLO DE CISNE. TAMAÑO PEDIATRICO. PIEZA.</v>
          </cell>
          <cell r="U1770">
            <v>27</v>
          </cell>
          <cell r="V1770">
            <v>67</v>
          </cell>
        </row>
        <row r="1771">
          <cell r="A1771">
            <v>1768</v>
          </cell>
          <cell r="B1771" t="str">
            <v>060.166.2109</v>
          </cell>
          <cell r="E1771" t="str">
            <v>CATETERES. PARA DIALISIS PERITONEAL DE INSTALACION SUBCUTANEA BLANDO DE SILICONCON 2 COJINETES DE POLIESTER CON CONECTOR TAPON Y SEGURO CON BANDA RADIOPACACURVATURA IZQUIERDA. ESTERIL Y DESECHABLE. TIPO: CUELLO DE CISNE. TAMAÑO:ADULTO. PIEZA.</v>
          </cell>
          <cell r="U1771">
            <v>756</v>
          </cell>
          <cell r="V1771">
            <v>1888</v>
          </cell>
        </row>
        <row r="1772">
          <cell r="A1772">
            <v>1769</v>
          </cell>
          <cell r="B1772" t="str">
            <v>060.166.2141</v>
          </cell>
          <cell r="E1772" t="str">
            <v>CATÉTERES. PARA DIÁLISIS PERITONEAL DE INSTALACIÓN SUBCUTÁNEA BLANDO DE SILICÓN CON DOS COJINETES DE POLIÉSTER O DACRÓN CON CONECTOR TAPÓN Y SEGURO CON BANDA RADIOPACA. RADIOPACA. ESTÉRIL Y DESECHABLE. TIPO: COLA DE COCHINO. TAMAÑO: ADULTO. PIEZA. EL TAMAÑO DEL CATÉTER SERÁ SELECCIONADO POR LAS INSTITUCIONES.</v>
          </cell>
          <cell r="U1772">
            <v>11053</v>
          </cell>
          <cell r="V1772">
            <v>27631</v>
          </cell>
        </row>
        <row r="1773">
          <cell r="A1773">
            <v>1770</v>
          </cell>
          <cell r="B1773" t="str">
            <v>060.166.2158</v>
          </cell>
          <cell r="E1773" t="str">
            <v>CATÉTERES. PARA DIÁLISIS PERITONEAL DE INSTALACIÓN SUBCUTÁNEA BLANDO DE SILICÓN CON DOS COJINETES DE POLIÉSTER O DACRÓN CON CONECTOR TAPÓN Y SEGURO CON BANDA RADIOPACA. RADIOPACA. ESTÉRIL Y DESECHABLE. TIPO: COLA DE COCHINO. TAMAÑO: PEDIÁTRICO. PIEZA.</v>
          </cell>
          <cell r="U1773">
            <v>1548</v>
          </cell>
          <cell r="V1773">
            <v>3869</v>
          </cell>
        </row>
        <row r="1774">
          <cell r="A1774">
            <v>1771</v>
          </cell>
          <cell r="B1774" t="str">
            <v>060.166.2703</v>
          </cell>
          <cell r="E1774" t="str">
            <v>Catéteres. Coronario de alto flujo para diagnóstico longitud 100 cm. Tipo: judkins. Calibre del catéter: 5 Fr. Asa: 3.5 izquierdo. Pieza.</v>
          </cell>
          <cell r="U1774">
            <v>452</v>
          </cell>
          <cell r="V1774">
            <v>1130</v>
          </cell>
        </row>
        <row r="1775">
          <cell r="A1775">
            <v>1772</v>
          </cell>
          <cell r="B1775" t="str">
            <v>060.166.2711</v>
          </cell>
          <cell r="E1775" t="str">
            <v>Catéteres. Coronario de alto flujo para diagnóstico longitud 100 cm. Tipo: judkins. Calibre del catéter:  6 Fr. Asa: 3.5 izquierdo. Pieza.</v>
          </cell>
          <cell r="U1775">
            <v>179</v>
          </cell>
          <cell r="V1775">
            <v>445</v>
          </cell>
        </row>
        <row r="1776">
          <cell r="A1776">
            <v>1773</v>
          </cell>
          <cell r="B1776" t="str">
            <v>060.166.2729</v>
          </cell>
          <cell r="E1776" t="str">
            <v>Catéteres. Coronario de alto flujo para diagnóstico longitud 100 cm. Tipo: judkins. Calibre del catéter: 5 Fr. Asa: 4.0 derecho. Pieza.</v>
          </cell>
          <cell r="U1776">
            <v>201</v>
          </cell>
          <cell r="V1776">
            <v>501</v>
          </cell>
        </row>
        <row r="1777">
          <cell r="A1777">
            <v>1774</v>
          </cell>
          <cell r="B1777" t="str">
            <v>060.166.2778</v>
          </cell>
          <cell r="E1777" t="str">
            <v>CATETERES. MULTIPROPOSITO, CON ELECTRODO BIPOLAR. TIPO: ZUCKER O LUMELEC.LONGITUD: 125 CM CALIBRE: 7 FR. PIEZA.</v>
          </cell>
          <cell r="U1777">
            <v>37</v>
          </cell>
          <cell r="V1777">
            <v>91</v>
          </cell>
        </row>
        <row r="1778">
          <cell r="A1778">
            <v>1775</v>
          </cell>
          <cell r="B1778" t="str">
            <v>060.166.2943</v>
          </cell>
          <cell r="E1778" t="str">
            <v>CÁNULAS. PARA TRAQUEOSTOMÍA NEONATAL DE CLORURO DE POLIVINILO SIN GLOBO RADIOPACA CON CONECTOR INCLUIDO CON ENTRADA DE 15 MM SIN ENDOCÁNULA CON OBTURADOR Y CINTA DE FIJACIÓN. ESTÉRIL Y DESECHABLE. DIÁMETRO INTERNO: 2.5 MM ± 0.15 MM. DIÁMETRO EXTERNO: 4.5 MM ± 0.5 MM. LONGITUD: 30 MM ± 5 MM. PIEZA.</v>
          </cell>
          <cell r="U1778">
            <v>685</v>
          </cell>
          <cell r="V1778">
            <v>1710</v>
          </cell>
        </row>
        <row r="1779">
          <cell r="A1779">
            <v>1776</v>
          </cell>
          <cell r="B1779" t="str">
            <v>060.166.3008</v>
          </cell>
          <cell r="E1779" t="str">
            <v>CÁNULAS. PARA TRAQUEOSTOMÍA NEONATAL DE CLORURO DE POLIVINILO SIN GLOBO RADIOPACA CON CONECTOR INCLUIDO CON ENTRADA DE 15 MM SIN ENDOCÁNULA CON OBTURADOR Y CINTA DE FIJACIÓN. ESTÉRIL Y DESECHABLE. DIÁMETRO INTERNO: 3.0 MM ± 0.15 MM. DIÁMETRO EXTERNO: 5.2 MM ± 0.5 MM. LONGITUD: 32 MM ± 5 MM. PIEZA.</v>
          </cell>
          <cell r="U1779">
            <v>1210</v>
          </cell>
          <cell r="V1779">
            <v>3022</v>
          </cell>
        </row>
        <row r="1780">
          <cell r="A1780">
            <v>1777</v>
          </cell>
          <cell r="B1780" t="str">
            <v>060.166.3016</v>
          </cell>
          <cell r="E1780" t="str">
            <v>CANULAS. PARA TRAQUEOSTOMIA NEONATAL DE CLORURO DE POLIVINILO SIN GLOBORADIOPACA CON CONECTOR INCLUIDO CON ENTRADA DE 15 MM SIN ENDOCANULA CONOBTURADOR Y CINTA DE FIJACION. ESTERIL Y DESECHABLE.  DIAMETRO INTERNO: 3.5 MM ±0.15 MM. DIAMETRO EXTERNO: 5.8 MM ± 0.5 MM. LONGITUD: 34 MM ± 5 MM. PIEZA.</v>
          </cell>
          <cell r="U1780">
            <v>676</v>
          </cell>
          <cell r="V1780">
            <v>1687</v>
          </cell>
        </row>
        <row r="1781">
          <cell r="A1781">
            <v>1778</v>
          </cell>
          <cell r="B1781" t="str">
            <v>060.166.3339</v>
          </cell>
          <cell r="E1781" t="str">
            <v>Sondas. Para aspiración de plástico transparente libre de pirógenos atóxico de 55 cm de longitud con válvula de control de aspiración con punta roma. Estéril y desechable. Calibre: 12 Fr. Pieza.</v>
          </cell>
          <cell r="U1781">
            <v>150795</v>
          </cell>
          <cell r="V1781">
            <v>376986</v>
          </cell>
        </row>
        <row r="1782">
          <cell r="A1782">
            <v>1779</v>
          </cell>
          <cell r="B1782" t="str">
            <v>060.166.3347</v>
          </cell>
          <cell r="E1782" t="str">
            <v>Sondas. Para aspiración de plástico transparente libre de pirógenos atóxico de 55 cm de longitud con válvula de control de aspiración con punta roma. Estéril y desechable. 14 Fr.</v>
          </cell>
          <cell r="U1782">
            <v>222265</v>
          </cell>
          <cell r="V1782">
            <v>555660</v>
          </cell>
        </row>
        <row r="1783">
          <cell r="A1783">
            <v>1780</v>
          </cell>
          <cell r="B1783" t="str">
            <v>060.166.3354</v>
          </cell>
          <cell r="E1783" t="str">
            <v>Sondas. Para aspiración de plástico transparente libre de pirógenos atóxico de 55 cm de longitud con válvula de control de aspiración con punta roma. Estéril y desechable. 16 Fr. Pieza.</v>
          </cell>
          <cell r="U1783">
            <v>199946</v>
          </cell>
          <cell r="V1783">
            <v>499862</v>
          </cell>
        </row>
        <row r="1784">
          <cell r="A1784">
            <v>1781</v>
          </cell>
          <cell r="B1784" t="str">
            <v>060.166.3362</v>
          </cell>
          <cell r="E1784" t="str">
            <v>Sondas. Para aspiración de plástico transparente libre de pirógenos atóxico de 55 cm de longitud con válvula de control de aspiración con punta roma. Estéril y desechable. 18 Fr. Pieza.</v>
          </cell>
          <cell r="U1784">
            <v>115970</v>
          </cell>
          <cell r="V1784">
            <v>289924</v>
          </cell>
        </row>
        <row r="1785">
          <cell r="A1785">
            <v>1782</v>
          </cell>
          <cell r="B1785" t="str">
            <v>060.166.3404</v>
          </cell>
          <cell r="E1785" t="str">
            <v>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1. PIEZA.</v>
          </cell>
          <cell r="U1785">
            <v>320</v>
          </cell>
          <cell r="V1785">
            <v>798</v>
          </cell>
        </row>
        <row r="1786">
          <cell r="A1786">
            <v>1783</v>
          </cell>
          <cell r="B1786" t="str">
            <v>060.166.3412</v>
          </cell>
          <cell r="E1786" t="str">
            <v>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2. PIEZA.</v>
          </cell>
          <cell r="U1786">
            <v>362</v>
          </cell>
          <cell r="V1786">
            <v>903</v>
          </cell>
        </row>
        <row r="1787">
          <cell r="A1787">
            <v>1784</v>
          </cell>
          <cell r="B1787" t="str">
            <v>060.166.3420</v>
          </cell>
          <cell r="E1787" t="str">
            <v>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150/7.5 MARCADORES RADIOPACOS: DISTALES 1. PIEZA.</v>
          </cell>
          <cell r="U1787">
            <v>93</v>
          </cell>
          <cell r="V1787">
            <v>231</v>
          </cell>
        </row>
        <row r="1788">
          <cell r="A1788">
            <v>1785</v>
          </cell>
          <cell r="B1788" t="str">
            <v>060.166.3438</v>
          </cell>
          <cell r="E1788" t="str">
            <v>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150/7.5 MARCADORES RADIOPACOS: DISTALES 2. PIEZA.</v>
          </cell>
          <cell r="U1788">
            <v>93</v>
          </cell>
          <cell r="V1788">
            <v>231</v>
          </cell>
        </row>
        <row r="1789">
          <cell r="A1789">
            <v>1786</v>
          </cell>
          <cell r="B1789" t="str">
            <v>060.166.3446</v>
          </cell>
          <cell r="E1789" t="str">
            <v>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1. PIEZA.</v>
          </cell>
          <cell r="U1789">
            <v>450</v>
          </cell>
          <cell r="V1789">
            <v>1123</v>
          </cell>
        </row>
        <row r="1790">
          <cell r="A1790">
            <v>1787</v>
          </cell>
          <cell r="B1790" t="str">
            <v>060.166.3453</v>
          </cell>
          <cell r="E1790" t="str">
            <v>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2. PIEZA.</v>
          </cell>
          <cell r="U1790">
            <v>161</v>
          </cell>
          <cell r="V1790">
            <v>399</v>
          </cell>
        </row>
        <row r="1791">
          <cell r="A1791">
            <v>1788</v>
          </cell>
          <cell r="B1791" t="str">
            <v>060.166.3461</v>
          </cell>
          <cell r="E1791" t="str">
            <v>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1. PIEZA.</v>
          </cell>
          <cell r="U1791">
            <v>127</v>
          </cell>
          <cell r="V1791">
            <v>315</v>
          </cell>
        </row>
        <row r="1792">
          <cell r="A1792">
            <v>1789</v>
          </cell>
          <cell r="B1792" t="str">
            <v>060.166.3479</v>
          </cell>
          <cell r="E1792" t="str">
            <v>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2. PIEZA.</v>
          </cell>
          <cell r="U1792">
            <v>127</v>
          </cell>
          <cell r="V1792">
            <v>315</v>
          </cell>
        </row>
        <row r="1793">
          <cell r="A1793">
            <v>1790</v>
          </cell>
          <cell r="B1793" t="str">
            <v>060.166.3487</v>
          </cell>
          <cell r="E1793" t="str">
            <v>CATÉTERES. MICROCATÉTERES. DE INFUSIÓN PARA ESPIRALES. (COILS) PARA EMBOLIZACIÓN ENDOVASCULAR INTRACRANEAL DE 0.018" (0.045 MM). CON CUERPO ENMALLADO DIÁMETRO INTERNO DE 0.021 " (0.0525 MM) CON TRES CAPAS DE RESINA MULTIDUROMÉTRICA RECUBRIMIENTO HIDROFÍLICO PUNTA PREFORMABLE CON VAPOR CONECTOR TIPO VENTURI Y DIÁMETROS EXTERNOS PROXIMAL /DISTAL DE 3 /1.5 FR. LONGITUD CM: 150/20 MARCADORES RADIOPACOS DISTALES: 1. PIEZA.</v>
          </cell>
          <cell r="U1793">
            <v>101</v>
          </cell>
          <cell r="V1793">
            <v>252</v>
          </cell>
        </row>
        <row r="1794">
          <cell r="A1794">
            <v>1791</v>
          </cell>
          <cell r="B1794" t="str">
            <v>060.166.3495</v>
          </cell>
          <cell r="E1794" t="str">
            <v>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150/20 MARCADORES RADIOPACOS DISTALES: 2. PIEZA.</v>
          </cell>
          <cell r="U1794">
            <v>101</v>
          </cell>
          <cell r="V1794">
            <v>252</v>
          </cell>
        </row>
        <row r="1795">
          <cell r="A1795">
            <v>1792</v>
          </cell>
          <cell r="B1795" t="str">
            <v>060.166.3503</v>
          </cell>
          <cell r="E1795" t="str">
            <v>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166/15 CM. PIEZA.</v>
          </cell>
          <cell r="U1795">
            <v>76</v>
          </cell>
          <cell r="V1795">
            <v>189</v>
          </cell>
        </row>
        <row r="1796">
          <cell r="A1796">
            <v>1793</v>
          </cell>
          <cell r="B1796" t="str">
            <v>060.166.3511</v>
          </cell>
          <cell r="E1796" t="str">
            <v>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166/20 CM. PIEZA.</v>
          </cell>
          <cell r="U1796">
            <v>93</v>
          </cell>
          <cell r="V1796">
            <v>231</v>
          </cell>
        </row>
        <row r="1797">
          <cell r="A1797">
            <v>1794</v>
          </cell>
          <cell r="B1797" t="str">
            <v>060.166.3529</v>
          </cell>
          <cell r="E1797" t="str">
            <v>CATÉTERES. MICROCATÉTERES DE INFUSIÓN PARA ESPIRALES (COILS) PARA EMBOLIZACIÓN ENDOVASCULAR INTRACRANEAL. DIRIGIDO POR FLUJO CON RECUBRIMIENTO HIDROFÍLICO PUNTA PREFORMABLE CON VAPOR CONECTOR TIPO VENTURI DIÁMETRO INTERNO DE 0.011 " (0.0275 MM) Y DIÁMETRO INTERNO PROXIMAL/DISTAL DE 3 /1.5 FR CON 1 MARCADOR RADIOPACO DISTAL. LONGITUD: 166/30 CM. PIEZA.</v>
          </cell>
          <cell r="U1797">
            <v>76</v>
          </cell>
          <cell r="V1797">
            <v>189</v>
          </cell>
        </row>
        <row r="1798">
          <cell r="A1798">
            <v>1795</v>
          </cell>
          <cell r="B1798" t="str">
            <v>060.166.3537</v>
          </cell>
          <cell r="E1798" t="str">
            <v>CATÉTERES. MICROCATÉTERES DE INFUSIÓN PARA ESPIRALES (COILS) PARA EMBOLIZACIÓN ENDOVASCULAR INTRACRANEAL. DIRIGIDO POR FLUJO CON RECUBRIMIENTO HIDROFÍLICO PUNTA PREFORMABLE CON VAPOR CONECTOR TIPO VENTURI DIÁMETRO INTERNO DE 0.013 " (0.0325 MM) Y DIÁMETRO INTERNO PROXIMAL/DISTAL DE 3 /1.8 FR CON 1 MARCADOR RADIOPACO DISTAL. LONGITUD: 166/10 CM. PIEZA.</v>
          </cell>
          <cell r="U1798">
            <v>76</v>
          </cell>
          <cell r="V1798">
            <v>189</v>
          </cell>
        </row>
        <row r="1799">
          <cell r="A1799">
            <v>1796</v>
          </cell>
          <cell r="B1799" t="str">
            <v>060.166.3545</v>
          </cell>
          <cell r="E1799" t="str">
            <v>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166/20 CM. PIEZA.</v>
          </cell>
          <cell r="U1799">
            <v>76</v>
          </cell>
          <cell r="V1799">
            <v>189</v>
          </cell>
        </row>
        <row r="1800">
          <cell r="A1800">
            <v>1797</v>
          </cell>
          <cell r="B1800" t="str">
            <v>060.166.3552</v>
          </cell>
          <cell r="E1800" t="str">
            <v>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166/30 CM. PIEZA.</v>
          </cell>
          <cell r="U1800">
            <v>76</v>
          </cell>
          <cell r="V1800">
            <v>189</v>
          </cell>
        </row>
        <row r="1801">
          <cell r="A1801">
            <v>1798</v>
          </cell>
          <cell r="B1801" t="str">
            <v>060.166.3578</v>
          </cell>
          <cell r="E1801" t="str">
            <v>CATÉTERES. CATÉTER MULTIPROPÓSITO CON ORIFICIO TERMINAL, DE NYLON O POLITETRAFLUORETILENO, CON ORIFICIOS LATERALES Y CAPACIDAD DE GUÍA DE 0.035”. LONGITUD 100 CM. ESTÉRIL Y DESECHABLE. CALIBRE: 4 FR. PIEZA.</v>
          </cell>
          <cell r="U1801">
            <v>488</v>
          </cell>
          <cell r="V1801">
            <v>1217</v>
          </cell>
        </row>
        <row r="1802">
          <cell r="A1802">
            <v>1799</v>
          </cell>
          <cell r="B1802" t="str">
            <v>060.166.3586</v>
          </cell>
          <cell r="E1802" t="str">
            <v>CATÉTERES. CATÉTER MULTIPROPÓSITO CON ORIFICIO TERMINAL, DE NYLON O POLITETRAFLUORETILENO, CON ORIFICIOS LATERALES Y CAPACIDAD DE GUÍA DE 0.035”. LONGITUD 100 CM. ESTÉRIL Y DESECHABLE. CALIBRE: 5 FR. PIEZA.</v>
          </cell>
          <cell r="U1802">
            <v>175</v>
          </cell>
          <cell r="V1802">
            <v>435</v>
          </cell>
        </row>
        <row r="1803">
          <cell r="A1803">
            <v>1800</v>
          </cell>
          <cell r="B1803" t="str">
            <v>060.166.3594</v>
          </cell>
          <cell r="E1803" t="str">
            <v>CATÉTER MULTIPROPÓSITO CON ORIFICIO TERMINAL, DE NYLON O POLITETRAFLUORETILENO, CON CAPACIDAD DE GUÍA DE 0.038”. LONGITUD 100 CM. ESTÉRIL Y DESECHABLE. CALIBRE: 4 FR. PIEZA.</v>
          </cell>
          <cell r="U1803">
            <v>632</v>
          </cell>
          <cell r="V1803">
            <v>1577</v>
          </cell>
        </row>
        <row r="1804">
          <cell r="A1804">
            <v>1801</v>
          </cell>
          <cell r="B1804" t="str">
            <v>060.166.3602</v>
          </cell>
          <cell r="E1804" t="str">
            <v>CATETER MULTIPROPOSITO CON ORIFICIO TERMINAL, DE NYLON O POLITETRAFLUORETILENO,CON CAPACIDAD DE GUIA DE 0.038 PULGADAS. LONGITUD 100 CM. ESTERIL Y DESECHABLE.CALIBRE: 5 FR. PIEZA.</v>
          </cell>
          <cell r="U1804">
            <v>158</v>
          </cell>
          <cell r="V1804">
            <v>394</v>
          </cell>
        </row>
        <row r="1805">
          <cell r="A1805">
            <v>1802</v>
          </cell>
          <cell r="B1805" t="str">
            <v>060.166.3610</v>
          </cell>
          <cell r="E1805" t="str">
            <v>CATÉTERES. PARA ANGIOGRAFÍA CEREBRAL, DE NYLON O POLITETRAFLUORETILENO. CON CAPACIDAD DE GUÍA DE 0.038”. LONGITUD 100 CM. ESTÉRIL Y DESECHABLE. TIPO: SIMMONS. CALIBRE: 4 FR CURVA: 1 PIEZA.</v>
          </cell>
          <cell r="U1805">
            <v>59</v>
          </cell>
          <cell r="V1805">
            <v>147</v>
          </cell>
        </row>
        <row r="1806">
          <cell r="A1806">
            <v>1803</v>
          </cell>
          <cell r="B1806" t="str">
            <v>060.166.3628</v>
          </cell>
          <cell r="E1806" t="str">
            <v>CATÉTERES. PARA ANGIOGRAFÍA CEREBRAL, DE NYLON O POLITETRAFLUORETILENO. CON CAPACIDAD DE GUÍA DE 0.038”. LONGITUD 100 CM. ESTÉRIL Y DESECHABLE. TIPO: SIMMONS. CALIBRE: 5 FR CURVA: 1 PIEZA.</v>
          </cell>
          <cell r="U1806">
            <v>455</v>
          </cell>
          <cell r="V1806">
            <v>1134</v>
          </cell>
        </row>
        <row r="1807">
          <cell r="A1807">
            <v>1804</v>
          </cell>
          <cell r="B1807" t="str">
            <v>060.166.3636</v>
          </cell>
          <cell r="E1807" t="str">
            <v>CATÉTERES. PARA ANGIOGRAFÍA CEREBRAL, DE NYLON O POLITETRAFLUORETILENO. CON CAPACIDAD DE GUÍA DE 0.038”. LONGITUD 100 CM. ESTÉRIL Y DESECHABLE. TIPO: SIMMONS. CALIBRE: 4 FR CURVA: 2 PIEZA.</v>
          </cell>
          <cell r="U1807">
            <v>263</v>
          </cell>
          <cell r="V1807">
            <v>654</v>
          </cell>
        </row>
        <row r="1808">
          <cell r="A1808">
            <v>1805</v>
          </cell>
          <cell r="B1808" t="str">
            <v>060.166.3644</v>
          </cell>
          <cell r="E1808" t="str">
            <v>CATÉTERES. PARA ANGIOGRAFÍA CEREBRAL, DE NYLON O POLITETRAFLUORETILENO. CON CAPACIDAD DE GUÍA DE 0.038”. LONGITUD 100 CM. ESTÉRIL Y DESECHABLE. TIPO: SIMMONS. CALIBRE: 5 FR CURVA: 2 PIEZA.</v>
          </cell>
          <cell r="U1808">
            <v>736</v>
          </cell>
          <cell r="V1808">
            <v>1838</v>
          </cell>
        </row>
        <row r="1809">
          <cell r="A1809">
            <v>1806</v>
          </cell>
          <cell r="B1809" t="str">
            <v>060.166.3651</v>
          </cell>
          <cell r="E1809" t="str">
            <v>CATETERES. PARA ANGIOGRAFIA CEREBRAL, DE NYLON O POLITETRAFLUORETILENO. CONCAPACIDAD DE GUIA DE 0.038”. LONGITUD 100 CM. ESTERIL Y DESECHABLE. TIPO:SIMMONS. CALIBRE: 4 FR CURVA: 4 PIEZA.</v>
          </cell>
          <cell r="U1809">
            <v>348</v>
          </cell>
          <cell r="V1809">
            <v>867</v>
          </cell>
        </row>
        <row r="1810">
          <cell r="A1810">
            <v>1807</v>
          </cell>
          <cell r="B1810" t="str">
            <v>060.166.3677</v>
          </cell>
          <cell r="E1810" t="str">
            <v>CATETERES. CATETER PARA ANGIOGRAFIA CEREBRAL, DE NYLON O POLITETRAFLUORETILENO.DIAMETRO INTERNO: 0.038". LONGITUD 100 CM. ESTERIL Y DESECHABLE. TIPO:HEADHUNTER. CALIBRE: 5 FR CURVA: 1. PIEZA.</v>
          </cell>
          <cell r="U1810">
            <v>392</v>
          </cell>
          <cell r="V1810">
            <v>978</v>
          </cell>
        </row>
        <row r="1811">
          <cell r="A1811">
            <v>1808</v>
          </cell>
          <cell r="B1811" t="str">
            <v>060.166.3701</v>
          </cell>
          <cell r="E1811" t="str">
            <v>Catéteres. Para angiografía cerebral de nylon o politetrafluoretileno. Con capacidad de guía de 0.038 ". Longitud 100 cm. Estéril y desechable. Tipo: head hunter. Calibre: 4 Fr.Curva: 1. Pieza.</v>
          </cell>
          <cell r="U1811">
            <v>199</v>
          </cell>
          <cell r="V1811">
            <v>495</v>
          </cell>
        </row>
        <row r="1812">
          <cell r="A1812">
            <v>1809</v>
          </cell>
          <cell r="B1812" t="str">
            <v>060.166.3719</v>
          </cell>
          <cell r="E1812" t="str">
            <v>CATETERES. CATETER PARA ANGIOGRAFIA CEREBRAL, DE NYLON O POLITETRAFLUORETILENO.CON CAPACIDAD DE GUIA DE 0.038". LONGITUD 100 CM. ESTERIL Y DESECHABLE. TIPO:HEAD HUNTER. CALIBRE: 5 FR CURVA: 1. PIEZA.</v>
          </cell>
          <cell r="U1812">
            <v>360</v>
          </cell>
          <cell r="V1812">
            <v>900</v>
          </cell>
        </row>
        <row r="1813">
          <cell r="A1813">
            <v>1810</v>
          </cell>
          <cell r="B1813" t="str">
            <v>060.166.3727</v>
          </cell>
          <cell r="E1813" t="str">
            <v>CATETERES. CATETER PARA ANGIOGRAFIA CEREBRAL, DE NYLON O POLITETRAFLUORETILENO.CON CAPACIDAD DE GUIA DE 0.038". LONGITUD 100 CM. ESTERIL Y DESECHABLE. TIPO:HEAD HUNTER. CALIBRE: 5 FR CURVA: 3. PIEZA.</v>
          </cell>
          <cell r="U1813">
            <v>292</v>
          </cell>
          <cell r="V1813">
            <v>728</v>
          </cell>
        </row>
        <row r="1814">
          <cell r="A1814">
            <v>1811</v>
          </cell>
          <cell r="B1814" t="str">
            <v>060.166.3750</v>
          </cell>
          <cell r="E1814" t="str">
            <v>CATETERES. CATETER PARA ANGIOGRAFIA CEREBRAL, DE NYLON O POLITETRAFLUORETILENO.CON CAPACIDAD DE GUIA DE 0.038". LONGITUD 100 CM. ESTERIL Y DESECHABLE. TIPO:HEAD HUNTER. CALIBRE: 5 FR CURVA: 2. PIEZA.</v>
          </cell>
          <cell r="U1814">
            <v>280</v>
          </cell>
          <cell r="V1814">
            <v>696</v>
          </cell>
        </row>
        <row r="1815">
          <cell r="A1815">
            <v>1812</v>
          </cell>
          <cell r="B1815" t="str">
            <v>060.166.3792</v>
          </cell>
          <cell r="E1815" t="str">
            <v>CATETERES. PARA ANGIOGRAFIA CEREBRAL DE NYLON O POLITETRAFLUORETILENO. CONCAPACIDAD DE GUIA DE 0.038”. LONGITUD 100 CM. ESTERIL Y DESECHABLE. TIPO:BENTSON. CALIBRE: 5 FR. CURVA: 1. PIEZA.</v>
          </cell>
          <cell r="U1815">
            <v>374</v>
          </cell>
          <cell r="V1815">
            <v>933</v>
          </cell>
        </row>
        <row r="1816">
          <cell r="A1816">
            <v>1813</v>
          </cell>
          <cell r="B1816" t="str">
            <v>060.166.3842</v>
          </cell>
          <cell r="E1816" t="str">
            <v>CATETERES. PARA ANGIOGRAFIA PANORAMICA, DE NYLON O POLITETRAFLUORETILENO, CONCAPACIDAD DE GUIA DE 0.038", Y MARCAS RADIOPACAS CADA CM EN LOS PRIMEROS 40 CMDEL CATETER. CALIBRE 5 FR Y LONGITUD 110 CM. ESTERIL Y DESECHABLE. PIEZA.</v>
          </cell>
          <cell r="U1816">
            <v>310</v>
          </cell>
          <cell r="V1816">
            <v>772</v>
          </cell>
        </row>
        <row r="1817">
          <cell r="A1817">
            <v>1814</v>
          </cell>
          <cell r="B1817" t="str">
            <v>060.166.3883</v>
          </cell>
          <cell r="E1817" t="str">
            <v>CATETERES. PARA ANGIOGRAFIA PANORAMICA DE NYLON O POLITETRAFLUORETILENO CONCAPACIDAD DE GUIA DE 0.038". ESTERIL Y DESECHABLE. TIPO: PIGTAIL. CALIBRE: 5 FR.LONGITUD: 65 CM. PIEZA.</v>
          </cell>
          <cell r="U1817">
            <v>112</v>
          </cell>
          <cell r="V1817">
            <v>276</v>
          </cell>
        </row>
        <row r="1818">
          <cell r="A1818">
            <v>1815</v>
          </cell>
          <cell r="B1818" t="str">
            <v>060.166.3891</v>
          </cell>
          <cell r="E1818" t="str">
            <v>CATETERES. PARA ANGIOGRAFIA PANORAMICA DE NYLON O POLITETRAFLUORETILENO CONCAPACIDAD DE GUIA DE 0.038". ESTERIL Y DESECHABLE. TIPO: PIGTAIL. CALIBRE: 5 FR.LONGITUD: 100 CM. PIEZA.</v>
          </cell>
          <cell r="U1818">
            <v>100</v>
          </cell>
          <cell r="V1818">
            <v>249</v>
          </cell>
        </row>
        <row r="1819">
          <cell r="A1819">
            <v>1816</v>
          </cell>
          <cell r="B1819" t="str">
            <v>060.166.3917</v>
          </cell>
          <cell r="E1819" t="str">
            <v>CATETERES. PARA ANGIOGRAFIA RENAL Y  VISCERAL DE NYLON O POLITETRAFLUORETILENOCON CAPACIDAD DE GUIA DE 0.038". LONGITUD 65 CM. ESTERIL Y DESECHABLE. TIPO:COBRA 1. CALIBRE: 5 FR. PIEZA.</v>
          </cell>
          <cell r="U1819">
            <v>181</v>
          </cell>
          <cell r="V1819">
            <v>451</v>
          </cell>
        </row>
        <row r="1820">
          <cell r="A1820">
            <v>1817</v>
          </cell>
          <cell r="B1820" t="str">
            <v>060.166.3925</v>
          </cell>
          <cell r="E1820" t="str">
            <v>CATETERES. PARA ANGIOGRAFIA RENAL Y  VISCERAL DE NYLON O POLITETRAFLUORETILENOCON CAPACIDAD DE GUIA DE 0.038". LONGITUD 65 CM. ESTERIL Y DESECHABLE. TIPO:COBRA 2. CALIBRE: 4 FR. PIEZA.</v>
          </cell>
          <cell r="U1820">
            <v>108</v>
          </cell>
          <cell r="V1820">
            <v>266</v>
          </cell>
        </row>
        <row r="1821">
          <cell r="A1821">
            <v>1818</v>
          </cell>
          <cell r="B1821" t="str">
            <v>060.166.3933</v>
          </cell>
          <cell r="E1821" t="str">
            <v>CATETERES. PARA ANGIOGRAFIA RENAL Y  VISCERAL DE NYLON O POLITETRAFLUORETILENOCON CAPACIDAD DE GUIA DE 0.038". LONGITUD 65 CM. ESTERIL Y DESECHABLE. TIPO:COBRA 2. CALIBRE: 5 FR. PIEZA.</v>
          </cell>
          <cell r="U1821">
            <v>246</v>
          </cell>
          <cell r="V1821">
            <v>612</v>
          </cell>
        </row>
        <row r="1822">
          <cell r="A1822">
            <v>1819</v>
          </cell>
          <cell r="B1822" t="str">
            <v>060.166.3958</v>
          </cell>
          <cell r="E1822" t="str">
            <v>CATÉTERES. PARA ANGIOGRAFÍA RENAL Y VISCERAL DE NYLON O POLITETRAFLUORETILENO CON CAPACIDAD DE GUÍA DE 0.038". LONGITUD 65 CM. ESTÉRIL Y DESECHABLE. TIPO: COBRA 3. CALIBRE: 5 FR. PIEZA.</v>
          </cell>
          <cell r="U1822">
            <v>25</v>
          </cell>
          <cell r="V1822">
            <v>61</v>
          </cell>
        </row>
        <row r="1823">
          <cell r="A1823">
            <v>1820</v>
          </cell>
          <cell r="B1823" t="str">
            <v>060.166.3990</v>
          </cell>
          <cell r="E1823" t="str">
            <v>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90 GRADOS. EXTREMO DISTAL (CM): 15. PIEZA.</v>
          </cell>
          <cell r="U1823">
            <v>148</v>
          </cell>
          <cell r="V1823">
            <v>368</v>
          </cell>
        </row>
        <row r="1824">
          <cell r="A1824">
            <v>1821</v>
          </cell>
          <cell r="B1824" t="str">
            <v>060.166.4014</v>
          </cell>
          <cell r="E1824" t="str">
            <v>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RECTA. EXTREMO DISTAL (CM): 5. PIEZA.</v>
          </cell>
          <cell r="U1824">
            <v>161</v>
          </cell>
          <cell r="V1824">
            <v>401</v>
          </cell>
        </row>
        <row r="1825">
          <cell r="A1825">
            <v>1822</v>
          </cell>
          <cell r="B1825" t="str">
            <v>060.166.4170</v>
          </cell>
          <cell r="E1825" t="str">
            <v>CATETERES. PARA ANGIOPLASTIA PERIFERICA, CALIBRE 7 FR, 120 CM DE LONGITUD TOTAL,CAPACIDAD DE GUIA 0.035", CON BALON DE ALTA PRESION DE INFLADO Y LONGITUD DE 4CM. ESTERIL Y DESECHABLE. DIAMETRO DEL BALON: 20 MM. PIEZA.</v>
          </cell>
          <cell r="U1825">
            <v>112</v>
          </cell>
          <cell r="V1825">
            <v>277</v>
          </cell>
        </row>
        <row r="1826">
          <cell r="A1826">
            <v>1823</v>
          </cell>
          <cell r="B1826" t="str">
            <v>060.166.4212</v>
          </cell>
          <cell r="E1826"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28-34 mm Pieza.</v>
          </cell>
          <cell r="U1826">
            <v>20590</v>
          </cell>
          <cell r="V1826">
            <v>51473</v>
          </cell>
        </row>
        <row r="1827">
          <cell r="A1827">
            <v>1824</v>
          </cell>
          <cell r="B1827" t="str">
            <v>060.166.4220</v>
          </cell>
          <cell r="E1827"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v>
          </cell>
          <cell r="U1827">
            <v>214243</v>
          </cell>
          <cell r="V1827">
            <v>535606</v>
          </cell>
        </row>
        <row r="1828">
          <cell r="A1828">
            <v>1825</v>
          </cell>
          <cell r="B1828" t="str">
            <v>060.166.4238</v>
          </cell>
          <cell r="E1828"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ell>
          <cell r="U1828">
            <v>1294507</v>
          </cell>
          <cell r="V1828">
            <v>3236264</v>
          </cell>
        </row>
        <row r="1829">
          <cell r="A1829">
            <v>1826</v>
          </cell>
          <cell r="B1829" t="str">
            <v>060.166.4246</v>
          </cell>
          <cell r="E1829"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45-52 mm Pieza.</v>
          </cell>
          <cell r="U1829">
            <v>4404</v>
          </cell>
          <cell r="V1829">
            <v>11006</v>
          </cell>
        </row>
        <row r="1830">
          <cell r="A1830">
            <v>1827</v>
          </cell>
          <cell r="B1830" t="str">
            <v>060.166.4253</v>
          </cell>
          <cell r="E1830"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v>
          </cell>
          <cell r="U1830">
            <v>865859</v>
          </cell>
          <cell r="V1830">
            <v>2164646</v>
          </cell>
        </row>
        <row r="1831">
          <cell r="A1831">
            <v>1828</v>
          </cell>
          <cell r="B1831" t="str">
            <v>060.166.4261</v>
          </cell>
          <cell r="E1831"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23-27 mm Pieza.</v>
          </cell>
          <cell r="U1831">
            <v>3430</v>
          </cell>
          <cell r="V1831">
            <v>8572</v>
          </cell>
        </row>
        <row r="1832">
          <cell r="A1832">
            <v>1829</v>
          </cell>
          <cell r="B1832" t="str">
            <v>060.166.4279</v>
          </cell>
          <cell r="E1832"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v>
          </cell>
          <cell r="U1832">
            <v>733802</v>
          </cell>
          <cell r="V1832">
            <v>1834502</v>
          </cell>
        </row>
        <row r="1833">
          <cell r="A1833">
            <v>1830</v>
          </cell>
          <cell r="B1833" t="str">
            <v>060.166.4287</v>
          </cell>
          <cell r="E1833"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v>
          </cell>
          <cell r="U1833">
            <v>539258</v>
          </cell>
          <cell r="V1833">
            <v>1348145</v>
          </cell>
        </row>
        <row r="1834">
          <cell r="A1834">
            <v>1831</v>
          </cell>
          <cell r="B1834" t="str">
            <v>060.166.4295</v>
          </cell>
          <cell r="E1834" t="str">
            <v>Catéteres. Para dilatación de arteria coronaria y microdisección de placa aterosclerótica. Diámetro: 2.00 mm Longitud:  10 mm. Pieza.</v>
          </cell>
          <cell r="U1834">
            <v>60</v>
          </cell>
          <cell r="V1834">
            <v>150</v>
          </cell>
        </row>
        <row r="1835">
          <cell r="A1835">
            <v>1832</v>
          </cell>
          <cell r="B1835" t="str">
            <v>060.166.4311</v>
          </cell>
          <cell r="E1835" t="str">
            <v>Catéteres. Para dilatación de arteria coronaria y microdisección de placa aterosclerótica. Diámetro:  2.50 mm Longitud: 10 mm. Pieza.</v>
          </cell>
          <cell r="U1835">
            <v>60</v>
          </cell>
          <cell r="V1835">
            <v>150</v>
          </cell>
        </row>
        <row r="1836">
          <cell r="A1836">
            <v>1833</v>
          </cell>
          <cell r="B1836" t="str">
            <v>060.166.4337</v>
          </cell>
          <cell r="E1836" t="str">
            <v>Catéteres. Para dilatación de arteria coronaria y microdisección de placa aterosclerótica. Diámetro:  3.00 mm Longitud: 10 mm. Pieza.</v>
          </cell>
          <cell r="U1836">
            <v>60</v>
          </cell>
          <cell r="V1836">
            <v>150</v>
          </cell>
        </row>
        <row r="1837">
          <cell r="A1837">
            <v>1834</v>
          </cell>
          <cell r="B1837" t="str">
            <v>060.166.4352</v>
          </cell>
          <cell r="E1837" t="str">
            <v>Catéteres. Para dilatación de arteria coronaria y microdisección de placa aterosclerótica. Diámetro:  3.50 mm Longitud: 10 mm. Pieza.</v>
          </cell>
          <cell r="U1837">
            <v>60</v>
          </cell>
          <cell r="V1837">
            <v>150</v>
          </cell>
        </row>
        <row r="1838">
          <cell r="A1838">
            <v>1835</v>
          </cell>
          <cell r="B1838" t="str">
            <v>060.166.4378</v>
          </cell>
          <cell r="E1838" t="str">
            <v>Catéteres. Para dilatación de arteria coronaria y microdisección de placa aterosclerótica. Diámetro:  4.00 mm Longitud: 10 mm. Pieza.</v>
          </cell>
          <cell r="U1838">
            <v>60</v>
          </cell>
          <cell r="V1838">
            <v>150</v>
          </cell>
        </row>
        <row r="1839">
          <cell r="A1839">
            <v>1836</v>
          </cell>
          <cell r="B1839" t="str">
            <v>060.166.4386</v>
          </cell>
          <cell r="E1839" t="str">
            <v>Catéteres. Para dilatación de arteria coronaria y microdisección de placa aterosclerótica. Diámetro: 2.00 mm  Longitud: 15 mm. Pieza.</v>
          </cell>
          <cell r="U1839">
            <v>80</v>
          </cell>
          <cell r="V1839">
            <v>200</v>
          </cell>
        </row>
        <row r="1840">
          <cell r="A1840">
            <v>1837</v>
          </cell>
          <cell r="B1840" t="str">
            <v>060.166.4402</v>
          </cell>
          <cell r="E1840" t="str">
            <v>Catéteres. Para dilatación de arteria coronaria y microdisección de placa aterosclerótica. Diámetro:  2.50 mm Longitud: 15 mm. Pieza.</v>
          </cell>
          <cell r="U1840">
            <v>200</v>
          </cell>
          <cell r="V1840">
            <v>500</v>
          </cell>
        </row>
        <row r="1841">
          <cell r="A1841">
            <v>1838</v>
          </cell>
          <cell r="B1841" t="str">
            <v>060.166.4428</v>
          </cell>
          <cell r="E1841" t="str">
            <v>Catéteres. Para dilatación de arteria coronaria y microdisección de placa aterosclerótica. Diámetro:  3.00 mm Longitud: 15 mm. Pieza.</v>
          </cell>
          <cell r="U1841">
            <v>80</v>
          </cell>
          <cell r="V1841">
            <v>200</v>
          </cell>
        </row>
        <row r="1842">
          <cell r="A1842">
            <v>1839</v>
          </cell>
          <cell r="B1842" t="str">
            <v>060.166.4444</v>
          </cell>
          <cell r="E1842" t="str">
            <v>Catéteres. Para dilatación de arteria coronaria y microdisección de placa aterosclerótica. Diámetro: 3.50 mm  Longitud: 15 mm. Pieza.</v>
          </cell>
          <cell r="U1842">
            <v>60</v>
          </cell>
          <cell r="V1842">
            <v>150</v>
          </cell>
        </row>
        <row r="1843">
          <cell r="A1843">
            <v>1840</v>
          </cell>
          <cell r="B1843" t="str">
            <v>060.166.4469</v>
          </cell>
          <cell r="E1843" t="str">
            <v>Catéteres. Para dilatación de arteria coronaria y microdisección de placa aterosclerótica. Diámetro:  4.00 mm Longitud: 15 mm. Pieza.</v>
          </cell>
          <cell r="U1843">
            <v>40</v>
          </cell>
          <cell r="V1843">
            <v>100</v>
          </cell>
        </row>
        <row r="1844">
          <cell r="A1844">
            <v>1841</v>
          </cell>
          <cell r="B1844" t="str">
            <v>060.166.4477</v>
          </cell>
          <cell r="E1844" t="str">
            <v>NEUROCORUGIA NEURORADIOLOGIA Y TERAPIA NEUROENDOVASCULAR. CATÉTERES. MICROCATÉTER DE INFUSIÓN PARA EMBOLIZACIÓN ENDOVASCULAR INTRACRANEAL. CON CUERPO ENMALLADO CON PUNTA PREFORMABLE CON VAPOR O PREFORMADA DE 45 ° A 90 ° EN J EN C O EN S CON DIÁMETRO EXTERNO PROXIMAL DE 2.3 A 3.0 FR. Y DIÁMETRO EXTERNO DISTAL DE 1.7 A 2.3 FR. LONGITUD DE AL MENOS 150 CM CON 1 O 2 MARCADORES RADIOPACOS. CONECTOR TIPO VENTURI O CONECTOR DE LLAVE DE TRES VÍAS O CONECTOR EN Y. PIEZA.</v>
          </cell>
          <cell r="U1844">
            <v>22</v>
          </cell>
          <cell r="V1844">
            <v>53</v>
          </cell>
        </row>
        <row r="1845">
          <cell r="A1845">
            <v>1842</v>
          </cell>
          <cell r="B1845" t="str">
            <v>060.166.4493</v>
          </cell>
          <cell r="E1845" t="str">
            <v>Catéter guía para angioplastía coronaria, con calibres de 6 a 8 Fr y lumen interno 0.070” y 0.081” respectivamente, de 100 cm de largo. Tipo. Judkins derecha o izquierda. Asa  3.5.</v>
          </cell>
          <cell r="U1845">
            <v>4368</v>
          </cell>
          <cell r="V1845">
            <v>10917</v>
          </cell>
        </row>
        <row r="1846">
          <cell r="A1846">
            <v>1843</v>
          </cell>
          <cell r="B1846" t="str">
            <v>060.166.4501</v>
          </cell>
          <cell r="E1846" t="str">
            <v>Catéter guía para angioplastía coronaria, con calibres de 6 a 8 Fr y lumen interno 0.070” y 0.081” respectivamente, de 100 cm de largo. Tipo. Judkins derecha o izquierda. Asa 4.</v>
          </cell>
          <cell r="U1846">
            <v>248</v>
          </cell>
          <cell r="V1846">
            <v>618</v>
          </cell>
        </row>
        <row r="1847">
          <cell r="A1847">
            <v>1844</v>
          </cell>
          <cell r="B1847" t="str">
            <v>060.166.4535</v>
          </cell>
          <cell r="E1847" t="str">
            <v>Catéter guía para angioplastía coronaria, con calibres de 6 a 8 Fr y lumen interno 0.070” y 0.081” respectivamente, de 100 cm de largo. Tipo. Amplatz derecha o izquierda. Asa 1.</v>
          </cell>
          <cell r="U1847">
            <v>38</v>
          </cell>
          <cell r="V1847">
            <v>92</v>
          </cell>
        </row>
        <row r="1848">
          <cell r="A1848">
            <v>1845</v>
          </cell>
          <cell r="B1848" t="str">
            <v>060.166.4543</v>
          </cell>
          <cell r="E1848" t="str">
            <v>Catéter guía para angioplastía coronaria, con calibres de 6 a 8 Fr y lumen interno 0.070” y 0.081” respectivamente, de 100 cm de largo. Tipo Amplatz derecha o izquierda Asa 2.</v>
          </cell>
          <cell r="U1848">
            <v>20</v>
          </cell>
          <cell r="V1848">
            <v>50</v>
          </cell>
        </row>
        <row r="1849">
          <cell r="A1849">
            <v>1846</v>
          </cell>
          <cell r="B1849" t="str">
            <v>060.166.4584</v>
          </cell>
          <cell r="E1849" t="str">
            <v>Catéter guía para angioplastía coronaria, con calibres de 6 a 8 Fr y lumen interno 0.070” y 0.081” respectivamente, de 100 cm de largo. Tipo Voda izquierda  Asa 3.</v>
          </cell>
          <cell r="U1849">
            <v>140</v>
          </cell>
          <cell r="V1849">
            <v>350</v>
          </cell>
        </row>
        <row r="1850">
          <cell r="A1850">
            <v>1847</v>
          </cell>
          <cell r="B1850" t="str">
            <v>060.166.4592</v>
          </cell>
          <cell r="E1850" t="str">
            <v>Catéter guía para angioplastía coronaria, con calibres de 6 a 8 Fr y lumen interno 0.070” y 0.081” respectivamente, de 100 cm de largo. Tipo. Voda izquierda. Asa 3.5.</v>
          </cell>
          <cell r="U1850">
            <v>74</v>
          </cell>
          <cell r="V1850">
            <v>184</v>
          </cell>
        </row>
        <row r="1851">
          <cell r="A1851">
            <v>1848</v>
          </cell>
          <cell r="B1851" t="str">
            <v>060.166.4634</v>
          </cell>
          <cell r="E1851" t="str">
            <v>Catéter guía para angioplastía coronaria, con calibres de 6 a 8 Fr y lumen interno 0.070” y 0.081” respectivamente, de 100 cm a 110 cm de largo. Tipo Radial Asa Universal. De diferentes curvas y tamaños</v>
          </cell>
          <cell r="U1851">
            <v>68</v>
          </cell>
          <cell r="V1851">
            <v>168</v>
          </cell>
        </row>
        <row r="1852">
          <cell r="A1852">
            <v>1849</v>
          </cell>
          <cell r="B1852" t="str">
            <v>060.166.4667</v>
          </cell>
          <cell r="E1852" t="str">
            <v>Catéter guía para angioplastía coronaria, con calibres de 6 a 8 Fr y lumen interno 0.070” y 0.081” respectivamente, de 100 cm de largo. Tipo Puentes coronario Hockey stick Asa Universal.</v>
          </cell>
          <cell r="U1852">
            <v>6</v>
          </cell>
          <cell r="V1852">
            <v>15</v>
          </cell>
        </row>
        <row r="1853">
          <cell r="A1853">
            <v>1850</v>
          </cell>
          <cell r="B1853" t="str">
            <v>060.166.4675</v>
          </cell>
          <cell r="E1853" t="str">
            <v>Catéteres. Catéter coronario de alto flujo para diagnóstico. Calibre 5 a 6 Fr. Longitud mínima de 100 cm. Tipo: Judkins derecha o izquierda Asa: 3.5</v>
          </cell>
          <cell r="U1853">
            <v>136</v>
          </cell>
          <cell r="V1853">
            <v>336</v>
          </cell>
        </row>
        <row r="1854">
          <cell r="A1854">
            <v>1851</v>
          </cell>
          <cell r="B1854" t="str">
            <v>060.166.4741</v>
          </cell>
          <cell r="E1854" t="str">
            <v>Catéteres. Catéter coronario de alto flujo para diagnóstico. Calibre 5 a 6 Fr. Longitud mínima de 100 cm. Tipo: Puente coronario izquierdo o derecho</v>
          </cell>
          <cell r="U1854">
            <v>4</v>
          </cell>
          <cell r="V1854">
            <v>10</v>
          </cell>
        </row>
        <row r="1855">
          <cell r="A1855">
            <v>1852</v>
          </cell>
          <cell r="B1855" t="str">
            <v>060.166.4758</v>
          </cell>
          <cell r="E1855" t="str">
            <v>Catéteres. Catéter coronario de alto flujo para diagnóstico. Calibre 5 a 6 Fr. Longitud mínima de 100 cm. Tipo Puente coronario Mamaria Interna</v>
          </cell>
          <cell r="U1855">
            <v>8</v>
          </cell>
          <cell r="V1855">
            <v>20</v>
          </cell>
        </row>
        <row r="1856">
          <cell r="A1856">
            <v>1853</v>
          </cell>
          <cell r="B1856" t="str">
            <v>060.166.4766</v>
          </cell>
          <cell r="E1856" t="str">
            <v>Catéteres. Catéter coronario de alto flujo para diagnóstico. Calibre 4 a 6 Fr. Longitud mínima de 100 cm. Tipo Radial Asa - De diferentes curvas y tamaños.</v>
          </cell>
          <cell r="U1856">
            <v>76</v>
          </cell>
          <cell r="V1856">
            <v>188</v>
          </cell>
        </row>
        <row r="1857">
          <cell r="A1857">
            <v>1854</v>
          </cell>
          <cell r="B1857" t="str">
            <v>060.166.4774</v>
          </cell>
          <cell r="E1857" t="str">
            <v>Catéteres. Catéter coronario de alto flujo para diagnóstico. Calibre 5 a 6 Fr. Longitud mínima de 100 cm. Tipo: Puente coronario Pig tail Asa: Recta</v>
          </cell>
          <cell r="U1857">
            <v>20</v>
          </cell>
          <cell r="V1857">
            <v>50</v>
          </cell>
        </row>
        <row r="1858">
          <cell r="A1858">
            <v>1855</v>
          </cell>
          <cell r="B1858" t="str">
            <v>060.166.4782</v>
          </cell>
          <cell r="E1858" t="str">
            <v>Catéteres. Catéter coronario de alto flujo para diagnóstico. Calibre 5 a 6 Fr. Longitud mínima de 100 cm. Tipo: Puente coronario Pig tail Asa: Angulada</v>
          </cell>
          <cell r="U1858">
            <v>20</v>
          </cell>
          <cell r="V1858">
            <v>50</v>
          </cell>
        </row>
        <row r="1859">
          <cell r="A1859">
            <v>1856</v>
          </cell>
          <cell r="B1859" t="str">
            <v>060.166.4790</v>
          </cell>
          <cell r="E1859" t="str">
            <v>Catéteres. Catéter coronario de alto flujo para diagnóstico. Calibre 5 a 6 Fr. Longitud mínima de 100 cm. Tipo: Puente coronario Multipropósito Asa: A-1</v>
          </cell>
          <cell r="U1859">
            <v>8</v>
          </cell>
          <cell r="V1859">
            <v>20</v>
          </cell>
        </row>
        <row r="1860">
          <cell r="A1860">
            <v>1857</v>
          </cell>
          <cell r="B1860" t="str">
            <v>060.166.4808</v>
          </cell>
          <cell r="E1860" t="str">
            <v>Catéteres. Catéter coronario de alto flujo para diagnóstico. Calibre 5 a 6 Fr. Longitud mínima de 100 cm. Tipo: Puente coronario Multipropósito Asa: B-1</v>
          </cell>
          <cell r="U1860">
            <v>8</v>
          </cell>
          <cell r="V1860">
            <v>20</v>
          </cell>
        </row>
        <row r="1861">
          <cell r="A1861">
            <v>1858</v>
          </cell>
          <cell r="B1861" t="str">
            <v>060.166.4832</v>
          </cell>
          <cell r="E1861" t="str">
            <v>CATETERES. PARA DIALISIS PERITONEAL CRONICA. DE INSTALACION SUBCUTANEA BLANDO DESILICON CON DOS COJINETES DE POLIESTER O DACRON CON CONECTOR CON TAPON SEGUROCON BANDA RADIOPACA. ESTERIL Y DESECHABLE. TIPO: TENCKHOFF. TAMAÑO: NEONATALPIEZA. EL TAMAÑO DEL CATETER SERA SELECCIONADO POR LAS INSTITUCIONES.</v>
          </cell>
          <cell r="U1861">
            <v>317</v>
          </cell>
          <cell r="V1861">
            <v>791</v>
          </cell>
        </row>
        <row r="1862">
          <cell r="A1862">
            <v>1859</v>
          </cell>
          <cell r="B1862" t="str">
            <v>060.166.4873</v>
          </cell>
          <cell r="E1862" t="str">
            <v>CATÉTER PARA INSEMINACIÓN INTRAUTERINA DE POLIPROPILENO. CATÉTER PARA INSEMINACIÓN INTRAUTERINA DE POLIPROPILENO DE 10 CM DE LONGITUD CON DIÁMETRO DE 5.4 FR PUNTA DISTAL ROMA CURVO SUAVE CONEXIÓN LUER LOCK CON CAMISA DE POLIPROPILENO Y GUÍA METÁLICA RÍGIDA DE 10 A 12 CM DE LONGITUD. ESTÉRIL Y DESECHABLE PIEZA.</v>
          </cell>
          <cell r="U1862">
            <v>266</v>
          </cell>
          <cell r="V1862">
            <v>662</v>
          </cell>
        </row>
        <row r="1863">
          <cell r="A1863">
            <v>1860</v>
          </cell>
          <cell r="B1863" t="str">
            <v>060.166.4949</v>
          </cell>
          <cell r="E1863" t="str">
            <v>CATÉTERES. CATÉTER VENOSO SUBCUTÁNEO IMPLANTABLE QUE CONTIENE: UN CONTENEDOR METÁLICO DE TITANIO CON MEMBRANA DE SILICÓN O POLIURETANO PARA PUNCIONAR Y UN CATÉTER DE ELASTÓMERO DE SILICÓN PARA LA ADMINISTRACIÓN DE BOLO O INFUSIÓN CONTINUA. ESTÉRIL Y DESECHABLE. CALIBRE: 4.5 FR.</v>
          </cell>
          <cell r="U1863">
            <v>1594</v>
          </cell>
          <cell r="V1863">
            <v>3983</v>
          </cell>
        </row>
        <row r="1864">
          <cell r="A1864">
            <v>1861</v>
          </cell>
          <cell r="B1864" t="str">
            <v>060.166.4956</v>
          </cell>
          <cell r="E1864" t="str">
            <v>CATÉTERES. CATÉTER VENOSO SUBCUTÁNEO IMPLANTABLE QUE CONTIENE: UN CONTENEDOR METÁLICO DE TITANIO CON MEMBRANA DE SILICÓN O POLIURETANO PARA PUNCIONAR Y UN CATÉTER DE ELASTÓMERO DE SILICÓN PARA LA ADMINISTRACIÓN DE BOLO O INFUSIÓN CONTINUA. ESTÉRIL Y DESECHABLE. CALIBRE: 6.5 FR.</v>
          </cell>
          <cell r="U1864">
            <v>1535</v>
          </cell>
          <cell r="V1864">
            <v>3835</v>
          </cell>
        </row>
        <row r="1865">
          <cell r="A1865">
            <v>1862</v>
          </cell>
          <cell r="B1865" t="str">
            <v>060.166.4964</v>
          </cell>
          <cell r="E1865" t="str">
            <v>Catéter venoso, subcutáneo, implantable, que contiene: Un contenedor metálico de titanio con membrana de silicón o poliuretano para puncionar y un catéter de elastómero de silicón, para la administración de bolo o infusión continua. Estéril y desechable. Calibre: 8.5 Fr. Pieza.</v>
          </cell>
          <cell r="U1865">
            <v>2230</v>
          </cell>
          <cell r="V1865">
            <v>5573</v>
          </cell>
        </row>
        <row r="1866">
          <cell r="A1866">
            <v>1863</v>
          </cell>
          <cell r="B1866" t="str">
            <v>060.166.4972</v>
          </cell>
          <cell r="E1866" t="str">
            <v>Catéter venoso, subcutáneo, implantable, que contiene: Un contenedor metálico de titanio con membrana de silicón o poliuretano para puncionar y un catéter de elastómero de silicón, para la administración de bolo o infusión continua. Estéril y desechable. Calibre: 10 Fr. Pieza.</v>
          </cell>
          <cell r="U1866">
            <v>578</v>
          </cell>
          <cell r="V1866">
            <v>1443</v>
          </cell>
        </row>
        <row r="1867">
          <cell r="A1867">
            <v>1864</v>
          </cell>
          <cell r="B1867" t="str">
            <v>060.166.5204</v>
          </cell>
          <cell r="E1867" t="str">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14 G Longitud: 45-52 mm Pieza.</v>
          </cell>
          <cell r="U1867">
            <v>53848</v>
          </cell>
          <cell r="V1867">
            <v>134620</v>
          </cell>
        </row>
        <row r="1868">
          <cell r="A1868">
            <v>1865</v>
          </cell>
          <cell r="B1868" t="str">
            <v>060.167.0458</v>
          </cell>
          <cell r="E1868" t="str">
            <v>Cánulas. De plástico transparente o translucido. Tipo: guedel/berman. Tamaño: Longitud: 0 50 mm. Pieza</v>
          </cell>
          <cell r="U1868">
            <v>42658</v>
          </cell>
          <cell r="V1868">
            <v>106644</v>
          </cell>
        </row>
        <row r="1869">
          <cell r="A1869">
            <v>1866</v>
          </cell>
          <cell r="B1869" t="str">
            <v>060.167.0466</v>
          </cell>
          <cell r="E1869" t="str">
            <v>Cánulas Orofaríngeas. De plástico transparente o translucido. Tipo: guedel/berman. Tamaño: 2 Longitud: 70 mm. Pieza</v>
          </cell>
          <cell r="U1869">
            <v>62588</v>
          </cell>
          <cell r="V1869">
            <v>156469</v>
          </cell>
        </row>
        <row r="1870">
          <cell r="A1870">
            <v>1867</v>
          </cell>
          <cell r="B1870" t="str">
            <v>060.167.0482</v>
          </cell>
          <cell r="E1870" t="str">
            <v>Cánulas Orofaríngeas. De plástico transparente o translucido. Tipo: guedel/berman. Tamaño: 4 Longitud: 90 mm. Pieza</v>
          </cell>
          <cell r="U1870">
            <v>269588</v>
          </cell>
          <cell r="V1870">
            <v>673969</v>
          </cell>
        </row>
        <row r="1871">
          <cell r="A1871">
            <v>1868</v>
          </cell>
          <cell r="B1871" t="str">
            <v>060.167.0680</v>
          </cell>
          <cell r="E1871" t="str">
            <v>Cánulas Orofaríngeas. De plástico transparente o translucido. Tipo: guedel/berman. Tamaño: 6 Longitud: 110 mm. Pieza</v>
          </cell>
          <cell r="U1871">
            <v>104070</v>
          </cell>
          <cell r="V1871">
            <v>260172</v>
          </cell>
        </row>
        <row r="1872">
          <cell r="A1872">
            <v>1869</v>
          </cell>
          <cell r="B1872" t="str">
            <v>060.167.0706</v>
          </cell>
          <cell r="E1872" t="str">
            <v>CANULAS. PARA TRAQUEOSTOMIA. CONSTAN DE CIERRE ROTATORIO CON TUBO INTERIORINTERCAMBIABLE, TUBO EXTERIOR PILOTO Y TUBO INTERIOR CON VALVULA TUCKER, DEPLATA. TIPO: JACKSON. CALIBRE: 00. PIEZA.</v>
          </cell>
          <cell r="U1872">
            <v>2992</v>
          </cell>
          <cell r="V1872">
            <v>7480</v>
          </cell>
        </row>
        <row r="1873">
          <cell r="A1873">
            <v>1870</v>
          </cell>
          <cell r="B1873" t="str">
            <v>060.167.0722</v>
          </cell>
          <cell r="E1873" t="str">
            <v>CANULAS. PARA TRAQUEOSTOMIA. CONSTAN DE CIERRE ROTATORIO CON TUBO INTERIORINTERCAMBIABLE, TUBO EXTERIOR PILOTO Y TUBO INTERIOR CON VALVULA TUCKER, DEPLATA. TIPO: JACKSON. CALIBRE: 0. PIEZA.</v>
          </cell>
          <cell r="U1873">
            <v>1628</v>
          </cell>
          <cell r="V1873">
            <v>4069</v>
          </cell>
        </row>
        <row r="1874">
          <cell r="A1874">
            <v>1871</v>
          </cell>
          <cell r="B1874" t="str">
            <v>060.167.0748</v>
          </cell>
          <cell r="E1874" t="str">
            <v>CANULAS. PARA TRAQUEOSTOMIA. CONSTAN DE CIERRE ROTATORIO CON TUBO INTERIORINTERCAMBIABLE, TUBO EXTERIOR PILOTO Y TUBO INTERIOR CON VALVULA TUCKER, DEPLATA. TIPO: JACKSON. CALIBRE: 1. PIEZA.</v>
          </cell>
          <cell r="U1874">
            <v>1558</v>
          </cell>
          <cell r="V1874">
            <v>3894</v>
          </cell>
        </row>
        <row r="1875">
          <cell r="A1875">
            <v>1872</v>
          </cell>
          <cell r="B1875" t="str">
            <v>060.167.0763</v>
          </cell>
          <cell r="E1875" t="str">
            <v>CANULAS. PARA TRAQUEOSTOMIA. CONSTAN DE CIERRE ROTATORIO CON TUBO INTERIORINTERCAMBIABLE, TUBO EXTERIOR PILOTO Y TUBO INTERIOR CON VALVULA TUCKER, DEPLATA. TIPO: JACKSON. CALIBRE: 2. PIEZA.</v>
          </cell>
          <cell r="U1875">
            <v>1964</v>
          </cell>
          <cell r="V1875">
            <v>4907</v>
          </cell>
        </row>
        <row r="1876">
          <cell r="A1876">
            <v>1873</v>
          </cell>
          <cell r="B1876" t="str">
            <v>060.167.0789</v>
          </cell>
          <cell r="E1876" t="str">
            <v>Catéteres. Para cateterismo venoso central radiopaco estéril y desechable de poliuretano que permita retirar la aguja y el mandril una vez instalado longitud 60 a 70 cm calibre l6 G con aguja de 3.5 a 6.5 cm de largo de pared delgada calibre l4 G con mandril y adaptador para venoclisis luer lock. Pieza.</v>
          </cell>
          <cell r="U1876">
            <v>22160</v>
          </cell>
          <cell r="V1876">
            <v>55399</v>
          </cell>
        </row>
        <row r="1877">
          <cell r="A1877">
            <v>1874</v>
          </cell>
          <cell r="B1877" t="str">
            <v>060.167.0805</v>
          </cell>
          <cell r="E1877" t="str">
            <v>CANULAS. PARA TRAQUEOSTOMIA. CONSTAN  DE CIERRE ROTATORIO CON TUBO INTERIORINTERCAMBIABLE. TUBO EXTERIOR PILOTO Y TUBO INTERIOR CON VALVULA TUCKER DEPLATA. TIPO: JACKSON. CALIBRE: 3 PIEZA.</v>
          </cell>
          <cell r="U1877">
            <v>2636</v>
          </cell>
          <cell r="V1877">
            <v>6586</v>
          </cell>
        </row>
        <row r="1878">
          <cell r="A1878">
            <v>1875</v>
          </cell>
          <cell r="B1878" t="str">
            <v>060.167.0821</v>
          </cell>
          <cell r="E1878" t="str">
            <v>CANULAS. PARA TRAQUEOSTOMIA. CONSTAN DE CIERRE ROTATORIO CON TUBO INTERIORINTERCAMBIABLE, TUBO EXTERIOR PILOTO Y TUBO INTERIOR CON VALVULA TUCKER, DEPLATA. TIPO: JACKSON. CALIBRE: 4. PIEZA.</v>
          </cell>
          <cell r="U1878">
            <v>2122</v>
          </cell>
          <cell r="V1878">
            <v>5304</v>
          </cell>
        </row>
        <row r="1879">
          <cell r="A1879">
            <v>1876</v>
          </cell>
          <cell r="B1879" t="str">
            <v>060.167.0847</v>
          </cell>
          <cell r="E1879" t="str">
            <v>CANULAS. PARA TRAQUEOSTOMIA. CONSTAN  DE CIERRE ROTATORIO CON TUBO INTERIORINTERCAMBIABLE. TUBO EXTERIOR PILOTO Y TUBO INTERIOR CON VALVULA TUCKER DEPLATA. TIPO: JACKSON. CALIBRE: 5. PIEZA.</v>
          </cell>
          <cell r="U1879">
            <v>2444</v>
          </cell>
          <cell r="V1879">
            <v>6109</v>
          </cell>
        </row>
        <row r="1880">
          <cell r="A1880">
            <v>1877</v>
          </cell>
          <cell r="B1880" t="str">
            <v>060.167.0862</v>
          </cell>
          <cell r="E1880" t="str">
            <v>Cánulas. Para traqueostomía. Constan    de    cierre    rotatorio    con    tubo    interior intercambiable. Tubo exterior piloto y tubo interior con válvula tucker de plata. Tipo: jackson. Calibre: 6 Pieza.</v>
          </cell>
          <cell r="U1880">
            <v>2836</v>
          </cell>
          <cell r="V1880">
            <v>7089</v>
          </cell>
        </row>
        <row r="1881">
          <cell r="A1881">
            <v>1878</v>
          </cell>
          <cell r="B1881" t="str">
            <v>060.167.0888</v>
          </cell>
          <cell r="E1881" t="str">
            <v>Cánulas. Para traqueostomía. Constan de cierre rotatorio con tubo interior intercambiable. Tubo exterior piloto y tubo interior con válvula tucker de plata. Tipo: jackson. Calibre: 7 Pieza.</v>
          </cell>
          <cell r="U1881">
            <v>4645</v>
          </cell>
          <cell r="V1881">
            <v>11611</v>
          </cell>
        </row>
        <row r="1882">
          <cell r="A1882">
            <v>1879</v>
          </cell>
          <cell r="B1882" t="str">
            <v>060.167.0904</v>
          </cell>
          <cell r="E1882" t="str">
            <v>Cánulas. Para traqueostomía. Constan    de    cierre    rotatorio    con    tubo    interior intercambiable. Tubo exterior piloto y tubo interior con válvula tucker de plata. Tipo: jackson. Calibre: 8 Pieza.</v>
          </cell>
          <cell r="U1882">
            <v>5235</v>
          </cell>
          <cell r="V1882">
            <v>13085</v>
          </cell>
        </row>
        <row r="1883">
          <cell r="A1883">
            <v>1880</v>
          </cell>
          <cell r="B1883" t="str">
            <v>060.167.0912</v>
          </cell>
          <cell r="E1883" t="str">
            <v>SONDAS. PARA URETRA. CON ROSCA EN LA PUNTA PARA ACOPLARSE A CANDELILLASFILIFORMES. TIPO: PHILLIPS. CALIBRE: 14 FR. PIEZA.</v>
          </cell>
          <cell r="U1883">
            <v>13</v>
          </cell>
          <cell r="V1883">
            <v>32</v>
          </cell>
        </row>
        <row r="1884">
          <cell r="A1884">
            <v>1881</v>
          </cell>
          <cell r="B1884" t="str">
            <v>060.167.0920</v>
          </cell>
          <cell r="E1884" t="str">
            <v>CANULAS. PARA TRAQUEOSTOMIA PEDIATRICA DE CLORURO DE POLIVINILO SIN GLOBORADIOPACA CON CONECTOR INCLUIDO CON ENTRADA DE 15 MM SIN ENDOCANULA CONOBTURADOR Y CINTA DE FIJACION. ESTERIL Y DESECHABLE. DIAMETRO INTERNO: 4.0 MM+/- 0.15 MM. DIAMETRO EXTERNO: 6.1 MM +/- 0.5 MM. LONGITUD: 41 MM +/- 5 MM.PIEZA.</v>
          </cell>
          <cell r="U1884">
            <v>1389</v>
          </cell>
          <cell r="V1884">
            <v>3471</v>
          </cell>
        </row>
        <row r="1885">
          <cell r="A1885">
            <v>1882</v>
          </cell>
          <cell r="B1885" t="str">
            <v>060.167.0946</v>
          </cell>
          <cell r="E1885" t="str">
            <v>CANULAS. PARA TRAQUEOSTOMIA PEDIATRICA DE CLORURO DE POLIVINILO SIN GLOBORADIOPACA CON CONECTOR INCLUIDO CON ENTRADA DE 15 MM SIN ENDOCANULA CONOBTURADOR Y CINTA DE FIJACION. ESTERIL Y DESECHABLE. DIAMETRO INTERNO: 4.5 MM+/- 0.15 MM. DIAMETRO EXTERNO: 6.6 MM +/- 0.5 MM. LONGITUD: 45 MM +/- 5 MM.PIEZA.</v>
          </cell>
          <cell r="U1885">
            <v>1256</v>
          </cell>
          <cell r="V1885">
            <v>3138</v>
          </cell>
        </row>
        <row r="1886">
          <cell r="A1886">
            <v>1883</v>
          </cell>
          <cell r="B1886" t="str">
            <v>060.167.0953</v>
          </cell>
          <cell r="E1886" t="str">
            <v>SONDAS. PARA URETRA. CON ROSCA EN LA PUNTA PARA ACOPLARSE A CANDELILLASFILIFORMES. TIPO: PHILLIPS. CALIBRE: 16 FR. PIEZA.</v>
          </cell>
          <cell r="U1886">
            <v>896</v>
          </cell>
          <cell r="V1886">
            <v>2238</v>
          </cell>
        </row>
        <row r="1887">
          <cell r="A1887">
            <v>1884</v>
          </cell>
          <cell r="B1887" t="str">
            <v>060.167.0979</v>
          </cell>
          <cell r="E1887" t="str">
            <v>CANULAS. PARA TRAQUEOSTOMIA PEDIATRICA DE CLORURO DE POLIVINILO SIN GLOBORADIOPACA CON CONECTOR INCLUIDO CON ENTRADA DE 15 MM SIN ENDOCANULA CONOBTURADOR Y CINTA DE FIJACION. ESTERIL Y DESECHABLE. DIAMETRO INTERNO: 5.5 MM+/- 0.15 MM. DIAMETRO EXTERNO: 7.8 MM +/- 0.5 MM. LONGITUD: 48 MM +/- 5 MM.PIEZA.</v>
          </cell>
          <cell r="U1887">
            <v>1428</v>
          </cell>
          <cell r="V1887">
            <v>3567</v>
          </cell>
        </row>
        <row r="1888">
          <cell r="A1888">
            <v>1885</v>
          </cell>
          <cell r="B1888" t="str">
            <v>060.167.0995</v>
          </cell>
          <cell r="E1888" t="str">
            <v>SONDAS. PARA URETRA. CON ROSCA EN LA PUNTA PARA ACOPLARSE A CANDELILLASFILIFORMES. TIPO: PHILLIPS. CALIBRE: 18 FR. PIEZA.</v>
          </cell>
          <cell r="U1888">
            <v>920</v>
          </cell>
          <cell r="V1888">
            <v>2299</v>
          </cell>
        </row>
        <row r="1889">
          <cell r="A1889">
            <v>1886</v>
          </cell>
          <cell r="B1889" t="str">
            <v>060.167.1027</v>
          </cell>
          <cell r="E1889" t="str">
            <v>SONDAS. PARA URETRA. CON ROSCA EN LA PUNTA PARA ACOPLARSE A CANDELILLASFILIFORMES. TIPO: PHILLIPS. CALIBRE: 24 FR. PIEZA.</v>
          </cell>
          <cell r="U1889">
            <v>462</v>
          </cell>
          <cell r="V1889">
            <v>1153</v>
          </cell>
        </row>
        <row r="1890">
          <cell r="A1890">
            <v>1887</v>
          </cell>
          <cell r="B1890" t="str">
            <v>060.167.1035</v>
          </cell>
          <cell r="E1890" t="str">
            <v>SONDAS. PARA URETRA. CON ROSCA EN LA PUNTA PARA ACOPLARSE A CANDELILLASFILIFORMES. TIPO: PHILLIPS. CALIBRE: 20 FR. PIEZA.</v>
          </cell>
          <cell r="U1890">
            <v>638</v>
          </cell>
          <cell r="V1890">
            <v>1592</v>
          </cell>
        </row>
        <row r="1891">
          <cell r="A1891">
            <v>1888</v>
          </cell>
          <cell r="B1891" t="str">
            <v>060.167.1068</v>
          </cell>
          <cell r="E1891" t="str">
            <v>SONDAS. PARA URETRA. CON ROSCA EN LA PUNTA PARA ACOPLARSE A CANDELILLASFILIFORMES. TIPO: PHILLIPS. CALIBRE: 22 FR. PIEZA.</v>
          </cell>
          <cell r="U1891">
            <v>721</v>
          </cell>
          <cell r="V1891">
            <v>1801</v>
          </cell>
        </row>
        <row r="1892">
          <cell r="A1892">
            <v>1889</v>
          </cell>
          <cell r="B1892" t="str">
            <v>060.167.1134</v>
          </cell>
          <cell r="E1892" t="str">
            <v>SONDAS. PARA URETRA. CON ROSCA EN LA PUNTA PARA ACOPLARSE A CANDELILLASFILIFORMES. TIPO: PHILLIPS. CALIBRE: 10 FR. PIEZA.</v>
          </cell>
          <cell r="U1892">
            <v>347</v>
          </cell>
          <cell r="V1892">
            <v>865</v>
          </cell>
        </row>
        <row r="1893">
          <cell r="A1893">
            <v>1890</v>
          </cell>
          <cell r="B1893" t="str">
            <v>060.167.1175</v>
          </cell>
          <cell r="E1893" t="str">
            <v>SONDAS. PARA URETRA. CON ROSCA EN LA PUNTA PARA ACOPLARSE A CANDELILLASFILIFORMES. TIPO: PHILLIPS. CALIBRE: 12 FR. PIEZA.</v>
          </cell>
          <cell r="U1893">
            <v>283</v>
          </cell>
          <cell r="V1893">
            <v>705</v>
          </cell>
        </row>
        <row r="1894">
          <cell r="A1894">
            <v>1891</v>
          </cell>
          <cell r="B1894" t="str">
            <v>060.167.1464</v>
          </cell>
          <cell r="E1894" t="str">
            <v>CATETERES. PARA ANGIOGRAFIA Y ARTERIOGRAFIA POR TECNICA PERCUTANEA. DEPOLITETRAFLUORETILENO O POLIESTER. TIPO: PIGTAIL. LONGITUD. 65 CM CALIBRE. 4 FR.PIEZA. *EN LA ADQUISICION DE ESTAS CLAVES DEBERA ACATARSE EL MATERIAL ESPECIFICOQUE SOLICITE CADA INSTITUCION.</v>
          </cell>
          <cell r="U1894">
            <v>11</v>
          </cell>
          <cell r="V1894">
            <v>25</v>
          </cell>
        </row>
        <row r="1895">
          <cell r="A1895">
            <v>1892</v>
          </cell>
          <cell r="B1895" t="str">
            <v>060.167.1480</v>
          </cell>
          <cell r="E1895" t="str">
            <v>CATETERES. PARA ANGIOGRAFIA Y ARTERIOGRAFIA POR TECNICA PERCUTANEA. DEPOLITETRAFLUORETILENO O POLIESTER. TIPO: PIGTAIL. LONGITUD. 65 CM CALIBRE. 5 FR.PIEZA. *EN LA ADQUISICION DE ESTAS CLAVES DEBERA ACATARSE EL MATERIAL ESPECIFICOQUE SOLICITE CADA INSTITUCION.</v>
          </cell>
          <cell r="U1895">
            <v>24</v>
          </cell>
          <cell r="V1895">
            <v>58</v>
          </cell>
        </row>
        <row r="1896">
          <cell r="A1896">
            <v>1893</v>
          </cell>
          <cell r="B1896" t="str">
            <v>060.167.1605</v>
          </cell>
          <cell r="E1896" t="str">
            <v>CATETERES. PARA ANGIOGRAFIA Y ARTERIOGRAFIA POR TECNICA PERCUTANEA. DEPOLITETRAFLUOROETILENO O POLIESTER. TIPO: PIGTAIL. LONGITUD: 100 CM CALIBRE: 6FR. PIEZA. EN LA ADQUISICION DE ESTAS CLAVES DEBERA ACATARSE EL MATERIALESPECIFICO QUE SOLICITE CADA INSTITUCION.</v>
          </cell>
          <cell r="U1896">
            <v>7</v>
          </cell>
          <cell r="V1896">
            <v>15</v>
          </cell>
        </row>
        <row r="1897">
          <cell r="A1897">
            <v>1894</v>
          </cell>
          <cell r="B1897" t="str">
            <v>060.167.1779</v>
          </cell>
          <cell r="E1897" t="str">
            <v>Catéteres. Para  registro  de  presión  venosa  aurícula  izquierda presión arterial sistémica y pulmonar. De plástico con balón para flotación. Tipo: swan-ganz. Longitud: 80 cm. Calibre: 5 Fr. Pieza.</v>
          </cell>
          <cell r="U1897">
            <v>49</v>
          </cell>
          <cell r="V1897">
            <v>121</v>
          </cell>
        </row>
        <row r="1898">
          <cell r="A1898">
            <v>1895</v>
          </cell>
          <cell r="B1898" t="str">
            <v>060.167.1787</v>
          </cell>
          <cell r="E1898" t="str">
            <v>Catéteres. Para  registro  de  presión  venosa  aurícula  izquierda presión arterial sistémica y pulmonar. De plástico con balón para flotación. Tipo: swan-ganz. Longitud: 110 cm. Calibre:  5 Fr. Pieza.</v>
          </cell>
          <cell r="U1898">
            <v>61</v>
          </cell>
          <cell r="V1898">
            <v>150</v>
          </cell>
        </row>
        <row r="1899">
          <cell r="A1899">
            <v>1896</v>
          </cell>
          <cell r="B1899" t="str">
            <v>060.167.2181</v>
          </cell>
          <cell r="E1899" t="str">
            <v>Catéteres. Para registro de presión venosa aurícula derecha presión arterial sistémica y pulmonar de plástico con balón de flotación con termistor para medir el gasto cardiaco por termodilución. Tipo: Swan-Ganz. Longitud: 110 cm Calibre: 7 Fr aurícula izquierda. Pieza</v>
          </cell>
          <cell r="U1899">
            <v>1212</v>
          </cell>
          <cell r="V1899">
            <v>3029</v>
          </cell>
        </row>
        <row r="1900">
          <cell r="A1900">
            <v>1897</v>
          </cell>
          <cell r="B1900" t="str">
            <v>060.167.2884</v>
          </cell>
          <cell r="E1900" t="str">
            <v>CATETERES. EPIDURAL CON ADAPTADOR GUIA ESTERIL DESECHABLE CALIBRE 18 O 19 G DEMATERIAL PLASTICO FLEXIBLE RADIOPACO RESISTENTE A ACODADURAS CON MARCASINDELEBLES CM A CM INICIANDO A PARTIR DE 4.8 A 5.5 CM DEL PRIMER ORIFICIOPROXIMAL HASTA 20 CM CON PUNTA ROMA SIN ORIFICIO CON BORDES UNIFORMEMENTEREDONDEADOS CON ORIFICIOS LATERALES DISTRIBUIDOS EN FORMA ESPIRAL EN 1 1/2 CM APARTIR DE LA PUNTA PROXIMAL Y CON LONGITUD DE 900 A 1050 MM. PIEZA.</v>
          </cell>
          <cell r="U1900">
            <v>460</v>
          </cell>
          <cell r="V1900">
            <v>1147</v>
          </cell>
        </row>
        <row r="1901">
          <cell r="A1901">
            <v>1898</v>
          </cell>
          <cell r="B1901" t="str">
            <v>060.167.3106</v>
          </cell>
          <cell r="E1901" t="str">
            <v>Catéteres. Ureterales en doble "J" . De elastómero de silicón o copolímero olefínico en bloque estériles. Longitud: 26 cm. Calibre: 6 Fr. Pieza.</v>
          </cell>
          <cell r="U1901">
            <v>1028</v>
          </cell>
          <cell r="V1901">
            <v>2567</v>
          </cell>
        </row>
        <row r="1902">
          <cell r="A1902">
            <v>1899</v>
          </cell>
          <cell r="B1902" t="str">
            <v>060.167.3304</v>
          </cell>
          <cell r="E1902" t="str">
            <v>Cánulas Orofaríngeas. De plástico transparente o translucido. Tipo: guedel/berman. Tamaño: 00 Longitud: 40 mm. Pieza.</v>
          </cell>
          <cell r="U1902">
            <v>35832</v>
          </cell>
          <cell r="V1902">
            <v>89579</v>
          </cell>
        </row>
        <row r="1903">
          <cell r="A1903">
            <v>1900</v>
          </cell>
          <cell r="B1903" t="str">
            <v>060.167.3312</v>
          </cell>
          <cell r="E1903" t="str">
            <v>CANULAS OROFARINGEAS. DE PLASTICO TRANSPARENTE O TRANSLUCIDO. TIPO:GUEDEL/BERMAN. TAMAÑO: 1 LONGITUD: 60 MM. PIEZA.</v>
          </cell>
          <cell r="U1903">
            <v>28768</v>
          </cell>
          <cell r="V1903">
            <v>71917</v>
          </cell>
        </row>
        <row r="1904">
          <cell r="A1904">
            <v>1901</v>
          </cell>
          <cell r="B1904" t="str">
            <v>060.167.3320</v>
          </cell>
          <cell r="E1904" t="str">
            <v>Cánulas Orofaríngeas. De plástico transparente o translucido. Tipo: guedel/berman. Tamaño: 3 Longitud: 80 mm. Pieza</v>
          </cell>
          <cell r="U1904">
            <v>148771</v>
          </cell>
          <cell r="V1904">
            <v>371926</v>
          </cell>
        </row>
        <row r="1905">
          <cell r="A1905">
            <v>1902</v>
          </cell>
          <cell r="B1905" t="str">
            <v>060.167.3346</v>
          </cell>
          <cell r="E1905" t="str">
            <v>Cánulas Orofaríngeas. De plástico transparente o translucido. Tipo: guedel/berman. Tamaño: 5 Longitud: 100 mm. Pieza</v>
          </cell>
          <cell r="U1905">
            <v>229663</v>
          </cell>
          <cell r="V1905">
            <v>574156</v>
          </cell>
        </row>
        <row r="1906">
          <cell r="A1906">
            <v>1903</v>
          </cell>
          <cell r="B1906" t="str">
            <v>060.167.3387</v>
          </cell>
          <cell r="E1906" t="str">
            <v>CATÉTERES. PARA EMBOLECTOMÍA. ESTÉRILES Y DESECHABLES. MODELO: FOGARTY. LONGITUD: 80 CM. CALIBRE: 3 FR. PIEZA.</v>
          </cell>
          <cell r="U1906">
            <v>11735</v>
          </cell>
          <cell r="V1906">
            <v>29335</v>
          </cell>
        </row>
        <row r="1907">
          <cell r="A1907">
            <v>1904</v>
          </cell>
          <cell r="B1907" t="str">
            <v>060.167.3403</v>
          </cell>
          <cell r="E1907" t="str">
            <v>CATÉTERES. PARA EMBOLECTOMÍA. ESTÉRILES Y DESECHABLES. MODELO: FOGARTY. LONGITUD: 80 CM. CALIBRE: 4 FR. PIEZA.</v>
          </cell>
          <cell r="U1907">
            <v>7768</v>
          </cell>
          <cell r="V1907">
            <v>19416</v>
          </cell>
        </row>
        <row r="1908">
          <cell r="A1908">
            <v>1905</v>
          </cell>
          <cell r="B1908" t="str">
            <v>060.167.3429</v>
          </cell>
          <cell r="E1908" t="str">
            <v>CATÉTERES. PARA EMBOLECTOMÍA. ESTÉRILES Y DESECHABLES. MODELO: FOGARTY. LONGITUD: 80 CM. CALIBRE: 6 FR. PIEZA.</v>
          </cell>
          <cell r="U1908">
            <v>5692</v>
          </cell>
          <cell r="V1908">
            <v>14228</v>
          </cell>
        </row>
        <row r="1909">
          <cell r="A1909">
            <v>1906</v>
          </cell>
          <cell r="B1909" t="str">
            <v>060.167.3437</v>
          </cell>
          <cell r="E1909" t="str">
            <v>Catéteres. Para embolectomía. Estériles y desechables. Modelo: fogarty. Longitud: 80 cm. Calibre: 7 Fr. Pieza.</v>
          </cell>
          <cell r="U1909">
            <v>5576</v>
          </cell>
          <cell r="V1909">
            <v>13936</v>
          </cell>
        </row>
        <row r="1910">
          <cell r="A1910">
            <v>1907</v>
          </cell>
          <cell r="B1910" t="str">
            <v>060.167.3726</v>
          </cell>
          <cell r="E1910" t="str">
            <v>Cánula. Para drenaje torácico. Con marca radiopaca. Longitud: 45 cm. Calibre: 28 Fr. Pieza.</v>
          </cell>
          <cell r="U1910">
            <v>22252</v>
          </cell>
          <cell r="V1910">
            <v>55626</v>
          </cell>
        </row>
        <row r="1911">
          <cell r="A1911">
            <v>1908</v>
          </cell>
          <cell r="B1911" t="str">
            <v>060.167.4419</v>
          </cell>
          <cell r="E1911" t="str">
            <v>CATÉTERES. PARA EMBOLECTOMÍA. ESTÉRILES Y DESECHABLES. MODELO: FOGARTY. LONGITUD: 80 CM. CALIBRE: 5 FR. PIEZA.</v>
          </cell>
          <cell r="U1911">
            <v>3085</v>
          </cell>
          <cell r="V1911">
            <v>7710</v>
          </cell>
        </row>
        <row r="1912">
          <cell r="A1912">
            <v>1909</v>
          </cell>
          <cell r="B1912" t="str">
            <v>060.167.4488</v>
          </cell>
          <cell r="E1912" t="str">
            <v>LLAVE TRES VIAS USOS DIVERSOS</v>
          </cell>
          <cell r="U1912">
            <v>80</v>
          </cell>
          <cell r="V1912">
            <v>200</v>
          </cell>
        </row>
        <row r="1913">
          <cell r="A1913">
            <v>1910</v>
          </cell>
          <cell r="B1913" t="str">
            <v>060.167.4559</v>
          </cell>
          <cell r="E1913" t="str">
            <v>CATETER PARA ANGIOGRAFIA Y ARTERIOGRAFIA, POR TECNICA PERCUTANEA. DEPOLITETRAFLUORETILENO O POLIESTER, CALIBRE 5 FR, LONGITUD 80 CM Y GUIA DE 0.6MM. TIP PIGTAIL. * EN LA ADQUISICION DE ESTA CLAVE DEBERA ACATARSE EL MATERIALESPECIFICO QUE SOLICITE CADA INSTITUCION.</v>
          </cell>
          <cell r="U1913">
            <v>234</v>
          </cell>
          <cell r="V1913">
            <v>582</v>
          </cell>
        </row>
        <row r="1914">
          <cell r="A1914">
            <v>1911</v>
          </cell>
          <cell r="B1914" t="str">
            <v>060.167.4864</v>
          </cell>
          <cell r="E1914" t="str">
            <v>Cánulas. Para fístula arteriovenosa externa para hemodiálisis. Con segmentos derecho e izquierdo recto con dos puntas y conector con un orificio posterior al bisel. Estéril y desechable. Tipo: ramírez. Calibre: 16 G. Pieza.</v>
          </cell>
          <cell r="U1914">
            <v>328</v>
          </cell>
          <cell r="V1914">
            <v>820</v>
          </cell>
        </row>
        <row r="1915">
          <cell r="A1915">
            <v>1912</v>
          </cell>
          <cell r="B1915" t="str">
            <v>060.167.4922</v>
          </cell>
          <cell r="E1915" t="str">
            <v>SONDA. PARA DRENAJE URINARIO DE LATEX, PUNTA REDONDA. TIPO NELATON. LONGITUD 40CM CALIBRE 26 FR. PIEZA.</v>
          </cell>
          <cell r="U1915">
            <v>6943</v>
          </cell>
          <cell r="V1915">
            <v>17357</v>
          </cell>
        </row>
        <row r="1916">
          <cell r="A1916">
            <v>1913</v>
          </cell>
          <cell r="B1916" t="str">
            <v>060.167.4930</v>
          </cell>
          <cell r="E1916" t="str">
            <v>SONDA. PARA DRENAJE URINARIO DE LATEX, PUNTA REDONDA. TIPO NELATON. LONGITUD. 40CM CALIBRE 28 FR. PIEZA.</v>
          </cell>
          <cell r="U1916">
            <v>8952</v>
          </cell>
          <cell r="V1916">
            <v>22378</v>
          </cell>
        </row>
        <row r="1917">
          <cell r="A1917">
            <v>1914</v>
          </cell>
          <cell r="B1917" t="str">
            <v>060.167.4948</v>
          </cell>
          <cell r="E1917" t="str">
            <v>SONDA. PARA DRENAJE URINARIO DE LATEX, PUNTA REDONDA. TIPO NELATON. LONGITUD. 40CM CALIBRE 30 FR. PIEZA.</v>
          </cell>
          <cell r="U1917">
            <v>8213</v>
          </cell>
          <cell r="V1917">
            <v>20529</v>
          </cell>
        </row>
        <row r="1918">
          <cell r="A1918">
            <v>1915</v>
          </cell>
          <cell r="B1918" t="str">
            <v>060.167.5010</v>
          </cell>
          <cell r="E1918" t="str">
            <v>Catéteres. Para suministro de oxígeno. Con tubo de conexión y cánula nasal. De plástico con diámetro interno de 2.0 mm. Longitud 180 cm. Pieza.</v>
          </cell>
          <cell r="U1918">
            <v>3597517</v>
          </cell>
          <cell r="V1918">
            <v>8993791</v>
          </cell>
        </row>
        <row r="1919">
          <cell r="A1919">
            <v>1916</v>
          </cell>
          <cell r="B1919" t="str">
            <v>060.167.6430</v>
          </cell>
          <cell r="E1919" t="str">
            <v>CANULAS PARA DESCOMPRESION DE COLON. CALIBRE 7 FR TIPO: MARCON. PIEZA.</v>
          </cell>
          <cell r="U1919">
            <v>156</v>
          </cell>
          <cell r="V1919">
            <v>388</v>
          </cell>
        </row>
        <row r="1920">
          <cell r="A1920">
            <v>1917</v>
          </cell>
          <cell r="B1920" t="str">
            <v>060.167.6554</v>
          </cell>
          <cell r="E1920" t="str">
            <v>CATETER PARA DIAGNOSTICO, TETRAPOLAR, PARA REGISTRO DEL HAZ DE HIS, CALIBRE 6FR,CON DISTANCIA INTERELECTRODO DE 5 MM, CURVA. ESTERIL Y DESECHABLE. PIEZA.</v>
          </cell>
          <cell r="U1920">
            <v>55</v>
          </cell>
          <cell r="V1920">
            <v>135</v>
          </cell>
        </row>
        <row r="1921">
          <cell r="A1921">
            <v>1918</v>
          </cell>
          <cell r="B1921" t="str">
            <v>060.167.6638</v>
          </cell>
          <cell r="E1921" t="str">
            <v>Catéteres. Para vasos umbilicales. Radiopacos de cloruro de polivinilo o poliuretano. Estériles y desechables. Longitud: 35 a 38 cm. Calibre: 3.5 Fr. Con acotaciones a 5,10 y 15 cm. Pieza.</v>
          </cell>
          <cell r="U1921">
            <v>65524</v>
          </cell>
          <cell r="V1921">
            <v>163809</v>
          </cell>
        </row>
        <row r="1922">
          <cell r="A1922">
            <v>1919</v>
          </cell>
          <cell r="B1922" t="str">
            <v>060.167.6646</v>
          </cell>
          <cell r="E1922" t="str">
            <v>Catéteres. Para vasos umbilicales. Radiopacos de cloruro de polivinilo o poliuretano. Estériles y desechables. Longitud: 35 a 38 cm Calibre: 5.0 Fr. Con acotaciones a 5,10 y 15 cm. Pieza.</v>
          </cell>
          <cell r="U1922">
            <v>68699</v>
          </cell>
          <cell r="V1922">
            <v>171747</v>
          </cell>
        </row>
        <row r="1923">
          <cell r="A1923">
            <v>1920</v>
          </cell>
          <cell r="B1923" t="str">
            <v>060.167.6653</v>
          </cell>
          <cell r="E1923" t="str">
            <v>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v>
          </cell>
          <cell r="U1923">
            <v>150707</v>
          </cell>
          <cell r="V1923">
            <v>376766</v>
          </cell>
        </row>
        <row r="1924">
          <cell r="A1924">
            <v>1921</v>
          </cell>
          <cell r="B1924" t="str">
            <v>060.167.6661</v>
          </cell>
          <cell r="E1924" t="str">
            <v>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v>
          </cell>
          <cell r="U1924">
            <v>294776</v>
          </cell>
          <cell r="V1924">
            <v>736937</v>
          </cell>
        </row>
        <row r="1925">
          <cell r="A1925">
            <v>1922</v>
          </cell>
          <cell r="B1925" t="str">
            <v>060.167.6679</v>
          </cell>
          <cell r="E1925" t="str">
            <v>CATETERES VENOSO, PARA NUTRICION PARENTERAL AMBULATORIA CON TRIPLE LUMEN, YEQUIPO INTRODUCTOR. ESTERIL Y DESECHABLE. TIPO: NIH. LONGITUD: 125 CM CALIBRE: 6FR. PIEZA.</v>
          </cell>
          <cell r="U1925">
            <v>3104</v>
          </cell>
          <cell r="V1925">
            <v>7759</v>
          </cell>
        </row>
        <row r="1926">
          <cell r="A1926">
            <v>1923</v>
          </cell>
          <cell r="B1926" t="str">
            <v>060.167.6885</v>
          </cell>
          <cell r="E1926" t="str">
            <v>CATETERES. PARA CATETERISMO VENOSO CENTRAL CALIBRE 5 FR X 20 CM DE LONGITUD DEPOLIURETANO O SILICON CON PUNTA FLEXIBLE RADIOPACO CON LUMEN INTERNO DISTALCALIBRE 16 G DISPOSITIVO DE FIJACION AJUSTABLE Y EQUIPO DE COLOCACION QUECONTIENE: JERINGA CON CAPACIDAD MINIMA DE 5 CC. AGUJA CALIBRE 16 G O 18 G DE6.35 A 7.20 CM DE LONGITUD. GUIA DE ALAMBRE DE 45 A 70 CM CON PUNTA FLEXIBLE ENJCONTENIDA EN FUNDA DE PLASTICO CON DISPENSADOR. DILATADOR VASCULAR Y SISTEMAPARA EVITAR EXTRAVASACION DE SANGRE. ESTERIL Y DESECHABLE. PIEZA. EN LAADQUISICION DE ESTA CLAVE DEBERA ACATARSE EL MATERIAL ESPECIFICO QUE SOLICITECADA INSTITUCION.</v>
          </cell>
          <cell r="U1926">
            <v>4895</v>
          </cell>
          <cell r="V1926">
            <v>12234</v>
          </cell>
        </row>
        <row r="1927">
          <cell r="A1927">
            <v>1924</v>
          </cell>
          <cell r="B1927" t="str">
            <v>060.167.6893</v>
          </cell>
          <cell r="E1927" t="str">
            <v>CANULAS. PARA NUTRICION PARENTERAL, VIA SUBCLAVIA, DE SILICON, CALIBRE 18 G,LONGITUD 30 CM, CON GUIA Y AGUJA CALIBRE 16 G. RADIOPACO, ESTERIL Y DESECHABLE.PIEZA.</v>
          </cell>
          <cell r="U1927">
            <v>749</v>
          </cell>
          <cell r="V1927">
            <v>1871</v>
          </cell>
        </row>
        <row r="1928">
          <cell r="A1928">
            <v>1925</v>
          </cell>
          <cell r="B1928" t="str">
            <v>060.167.6901</v>
          </cell>
          <cell r="E1928" t="str">
            <v>CATETERES MULTIPROPOSITO PUNTA A2, ESTERIL Y DESECHABLE. LONGITUD 65 CM. CALIBRE5 FR. PIEZA.</v>
          </cell>
          <cell r="U1928">
            <v>205</v>
          </cell>
          <cell r="V1928">
            <v>510</v>
          </cell>
        </row>
        <row r="1929">
          <cell r="A1929">
            <v>1926</v>
          </cell>
          <cell r="B1929" t="str">
            <v>060.167.6935</v>
          </cell>
          <cell r="E1929" t="str">
            <v>CANULAS. PARA TRAQUEOSTOMIA PEDIATRICA DE CLORURO DE POLIVINILO SIN GLOBORADIOPACA CON CONECTOR INCLUIDO CON ENTRADA DE 15 MM SIN ENDOCANULA CONOBTURADOR Y CINTA DE FIJACION. ESTERIL Y DESECHABLE. DIAMETRO INTERNO: 3.5 MM+/- 0.15 MM. DIAMETRO EXTERNO: 5.3 MM +/- 0.5 MM. LONGITUD: 40 MM +/- 5 MM.PIEZA.</v>
          </cell>
          <cell r="U1929">
            <v>710</v>
          </cell>
          <cell r="V1929">
            <v>1773</v>
          </cell>
        </row>
        <row r="1930">
          <cell r="A1930">
            <v>1927</v>
          </cell>
          <cell r="B1930" t="str">
            <v>060.167.6950</v>
          </cell>
          <cell r="E1930" t="str">
            <v>CANULAS. DE SILICON DE DOS LUMENES CON TAPON ESTERIL Y DESECHABLE CALIBRE 12 FRY 90 CM DE LONGITUD CON COJINETE DE POLIESTER CON CONECTOR LUER LOCK CON PINZAOBTURADORA Y CON INTRODUCTOR DE 12.5 FR. TIPO: HICKMAN. PIEZA.</v>
          </cell>
          <cell r="U1930">
            <v>115</v>
          </cell>
          <cell r="V1930">
            <v>285</v>
          </cell>
        </row>
        <row r="1931">
          <cell r="A1931">
            <v>1928</v>
          </cell>
          <cell r="B1931" t="str">
            <v>060.167.7024</v>
          </cell>
          <cell r="E1931" t="str">
            <v>Catéteres. Para diálisis peritoneal crónica. De instalación subcutánea blando de silicón con dos cojinetes de poliéster o dacrón con conector con tapón seguro con banda radiopaca. Estéril y desechable. Tipo: Tenckhoff. Tamaño: Adulto. Pieza. El tamaño del catéter será seleccionado por las instituciones.</v>
          </cell>
          <cell r="U1931">
            <v>5022</v>
          </cell>
          <cell r="V1931">
            <v>12553</v>
          </cell>
        </row>
        <row r="1932">
          <cell r="A1932">
            <v>1929</v>
          </cell>
          <cell r="B1932" t="str">
            <v>060.167.7032</v>
          </cell>
          <cell r="E1932" t="str">
            <v>Catéteres. Para diálisis peritoneal crónica. De instalación subcutánea blando de silicón con dos cojinetes de poliéster o dacrón con conector con tapón seguro con banda radiopaca. Estéril y desechable. Tipo: Tenckhoff. Tamaño: Pediátrico Pieza. El tamaño del catéter será seleccionado por las instituciones.</v>
          </cell>
          <cell r="U1932">
            <v>2813</v>
          </cell>
          <cell r="V1932">
            <v>7030</v>
          </cell>
        </row>
        <row r="1933">
          <cell r="A1933">
            <v>1930</v>
          </cell>
          <cell r="B1933" t="str">
            <v>060.167.7628</v>
          </cell>
          <cell r="E1933" t="str">
            <v>CATETERES GUIA MULTIPROPOSITO PUNTA CURVA A LONGITUD 100 CM. CALIBRE 8 FR.PIEZA.</v>
          </cell>
          <cell r="U1933">
            <v>88</v>
          </cell>
          <cell r="V1933">
            <v>216</v>
          </cell>
        </row>
        <row r="1934">
          <cell r="A1934">
            <v>1931</v>
          </cell>
          <cell r="B1934" t="str">
            <v>060.167.7693</v>
          </cell>
          <cell r="E1934" t="str">
            <v>CATETERES PARA ANGIOGRAFIA Y ARTERIOGRAFIA CAROTIDEA IZQUIERDA, POR TECNICAPERCUTANEA CON TRES ORIFICIOS DESECHABLE. LONGITUD 110 CM. CALIBRE 7 FR. PIEZA.</v>
          </cell>
          <cell r="U1934">
            <v>212</v>
          </cell>
          <cell r="V1934">
            <v>528</v>
          </cell>
        </row>
        <row r="1935">
          <cell r="A1935">
            <v>1932</v>
          </cell>
          <cell r="B1935" t="str">
            <v>060.167.7701</v>
          </cell>
          <cell r="E1935" t="str">
            <v>CATETERES PARA ANGIOGRAFIA Y TOMOGRAFIA CEREBRAL. CON TRES ORIFICIOS, DESECHABLETIPO HEAD HUNTER. LONGITUD 110 CM. CALIBRE 6 FR. PIEZA.</v>
          </cell>
          <cell r="U1935">
            <v>192</v>
          </cell>
          <cell r="V1935">
            <v>480</v>
          </cell>
        </row>
        <row r="1936">
          <cell r="A1936">
            <v>1933</v>
          </cell>
          <cell r="B1936" t="str">
            <v>060.167.7867</v>
          </cell>
          <cell r="E1936" t="str">
            <v>CATETERES PARA DILATACION DE URETERO CALIBRE 6 FR. LONGITUD 65 CM. CON GLOBO DEBAJA PRESION DIAMETRO 6 MM. LONGITUD 10 CM Y GUIA DE ALAMBRE. ESTERIL YDESECHABLE. PIEZA.</v>
          </cell>
          <cell r="U1936">
            <v>60</v>
          </cell>
          <cell r="V1936">
            <v>148</v>
          </cell>
        </row>
        <row r="1937">
          <cell r="A1937">
            <v>1934</v>
          </cell>
          <cell r="B1937" t="str">
            <v>060.167.7875</v>
          </cell>
          <cell r="E1937" t="str">
            <v>CATETERES. DE SILICON CON TAPON ESTERIL DESECHABLE. TIPO: HICKMAN. LONGITUD: 90CM. CALIBRE: 7 FR. LUMEN: 2. PIEZA.</v>
          </cell>
          <cell r="U1937">
            <v>24</v>
          </cell>
          <cell r="V1937">
            <v>59</v>
          </cell>
        </row>
        <row r="1938">
          <cell r="A1938">
            <v>1935</v>
          </cell>
          <cell r="B1938" t="str">
            <v>060.167.7966</v>
          </cell>
          <cell r="E1938" t="str">
            <v>Catéteres. De poliuretano calibre 7 Fr longitud 40 cm doble lumen con guía de alambre de 32 cm tunelizador y dilatador vascular calibre 8.5 Fr. Pieza.</v>
          </cell>
          <cell r="U1938">
            <v>1132</v>
          </cell>
          <cell r="V1938">
            <v>2827</v>
          </cell>
        </row>
        <row r="1939">
          <cell r="A1939">
            <v>1936</v>
          </cell>
          <cell r="B1939" t="str">
            <v>060.167.7974</v>
          </cell>
          <cell r="E1939" t="str">
            <v>CATETERES. PARA NEUMOTORAX CON VALVULA DE HEIMLICH CON AGUJA 18 G CALIBRE 8 FR.PIEZA.</v>
          </cell>
          <cell r="U1939">
            <v>5388</v>
          </cell>
          <cell r="V1939">
            <v>13470</v>
          </cell>
        </row>
        <row r="1940">
          <cell r="A1940">
            <v>1937</v>
          </cell>
          <cell r="B1940" t="str">
            <v>060.167.7990</v>
          </cell>
          <cell r="E1940" t="str">
            <v>Catéteres. Angiográfico con balón de flotación con orificios laterales desechable. Tipo: swan-ganz. Longitud: 110 cm. Calibre: 6 Fr. Pieza.</v>
          </cell>
          <cell r="U1940">
            <v>108</v>
          </cell>
          <cell r="V1940">
            <v>268</v>
          </cell>
        </row>
        <row r="1941">
          <cell r="A1941">
            <v>1938</v>
          </cell>
          <cell r="B1941" t="str">
            <v>060.167.8022</v>
          </cell>
          <cell r="E1941" t="str">
            <v>CATETERES. CATETER PARA ABLACION POR RADIOFRECUENCIA, TETRAPOLAR CON ELECTRODODE 4 MM Y PUNTA DIRIGIBLE, CON SENSOR DE TEMPERATURA. ESTERIL Y DESECHABLE.LONGITUD 100 CM CALIBRE 7 FR. PIEZA.</v>
          </cell>
          <cell r="U1941">
            <v>28</v>
          </cell>
          <cell r="V1941">
            <v>67</v>
          </cell>
        </row>
        <row r="1942">
          <cell r="A1942">
            <v>1939</v>
          </cell>
          <cell r="B1942" t="str">
            <v>060.167.8063</v>
          </cell>
          <cell r="E1942" t="str">
            <v>Catéteres. Para subclavia de silicón doble lumen estéril y desechable. Longitud: 30 cm.Calibre:7 Fr.Pieza.</v>
          </cell>
          <cell r="U1942">
            <v>1856</v>
          </cell>
          <cell r="V1942">
            <v>4639</v>
          </cell>
        </row>
        <row r="1943">
          <cell r="A1943">
            <v>1940</v>
          </cell>
          <cell r="B1943" t="str">
            <v>060.167.8089</v>
          </cell>
          <cell r="E1943" t="str">
            <v>Sondas. Para alimentación. De plástico transparente estéril y desechable con un orificio en el extremo proximal y otro en los primeros 2 cm. Tamaño: Infantil Longitud: 38.5 cm Calibre: 8 Fr.</v>
          </cell>
          <cell r="U1943">
            <v>3240261</v>
          </cell>
          <cell r="V1943">
            <v>8100651</v>
          </cell>
        </row>
        <row r="1944">
          <cell r="A1944">
            <v>1941</v>
          </cell>
          <cell r="B1944" t="str">
            <v>060.167.8121</v>
          </cell>
          <cell r="E1944" t="str">
            <v>Sondas. Para drenaje urinario de permanencia prolongada. De elastómero de silicón con globo de autorretención de 5 ml. Estéril y desechable. Tipo: foley de dos vías. Calibre: 14 Fr. Pieza.</v>
          </cell>
          <cell r="U1944">
            <v>107531</v>
          </cell>
          <cell r="V1944">
            <v>268826</v>
          </cell>
        </row>
        <row r="1945">
          <cell r="A1945">
            <v>1942</v>
          </cell>
          <cell r="B1945" t="str">
            <v>060.167.8139</v>
          </cell>
          <cell r="E1945" t="str">
            <v>Sondas. Para drenaje urinario de permanencia prolongada. De elastómero de silicón con globo de autorretención de 5 ml. Estéril y desechable. Tipo: foley de dos vías. Calibre: 16 Fr. Pieza.</v>
          </cell>
          <cell r="U1945">
            <v>118727</v>
          </cell>
          <cell r="V1945">
            <v>296814</v>
          </cell>
        </row>
        <row r="1946">
          <cell r="A1946">
            <v>1943</v>
          </cell>
          <cell r="B1946" t="str">
            <v>060.167.8147</v>
          </cell>
          <cell r="E1946" t="str">
            <v>Sondas. Para drenaje urinario de permanencia prolongada. De elastómero de silicón con globo de autorretención de 5 ml. Estéril y desechable. Tipo: foley de dos vías. Calibre: 18 Fr. Pieza.</v>
          </cell>
          <cell r="U1946">
            <v>97000</v>
          </cell>
          <cell r="V1946">
            <v>242498</v>
          </cell>
        </row>
        <row r="1947">
          <cell r="A1947">
            <v>1944</v>
          </cell>
          <cell r="B1947" t="str">
            <v>060.167.8154</v>
          </cell>
          <cell r="E1947" t="str">
            <v>Sondas. Para drenaje urinario de permanencia prolongada. De elastómero de silicón con globo de autorretención de 5 ml. Estéril y desechable. Tipo: foley de dos vías. Calibre: 20 Fr. Pieza.</v>
          </cell>
          <cell r="U1947">
            <v>6448</v>
          </cell>
          <cell r="V1947">
            <v>16117</v>
          </cell>
        </row>
        <row r="1948">
          <cell r="A1948">
            <v>1945</v>
          </cell>
          <cell r="B1948" t="str">
            <v>060.167.8162</v>
          </cell>
          <cell r="E1948" t="str">
            <v>Sondas. Para   drenaje   urinario   de   permanencia   prolongada. De elastómero de silicón con globo de autorretención de 5 ml. Estéril y desechable. Tipo: foley de dos vías. Calibre: 24 Fr. Pieza.</v>
          </cell>
          <cell r="U1948">
            <v>2718</v>
          </cell>
          <cell r="V1948">
            <v>6792</v>
          </cell>
        </row>
        <row r="1949">
          <cell r="A1949">
            <v>1946</v>
          </cell>
          <cell r="B1949" t="str">
            <v>060.167.8204</v>
          </cell>
          <cell r="E1949" t="str">
            <v>Tubos. Endotraqueales de plástico grado médico transparente. Con globo y espiral de alambre con balón y conector radiopaco estéril. Longitud: 28-30 cm. Calibre: 30 Fr.</v>
          </cell>
          <cell r="U1949">
            <v>22783</v>
          </cell>
          <cell r="V1949">
            <v>56955</v>
          </cell>
        </row>
        <row r="1950">
          <cell r="A1950">
            <v>1947</v>
          </cell>
          <cell r="B1950" t="str">
            <v>060.167.8212</v>
          </cell>
          <cell r="E1950" t="str">
            <v>Tubos. Endotraqueales de plástico grado médico transparente. Con globo y espiral de alambre con balón y conector radiopaco estéril. Longitud:  32-36 cm.  Calibre: 40 Fr. Pieza.</v>
          </cell>
          <cell r="U1950">
            <v>104</v>
          </cell>
          <cell r="V1950">
            <v>260</v>
          </cell>
        </row>
        <row r="1951">
          <cell r="A1951">
            <v>1948</v>
          </cell>
          <cell r="B1951" t="str">
            <v>060.167.8220</v>
          </cell>
          <cell r="E1951" t="str">
            <v>Tubos. Endotraqueales sin globo. De elastómero de silicón transparente graduados con marca radiopaca estériles y desechables. Diámetro Interno: 2.0 mm Calibre: 8 Fr.</v>
          </cell>
          <cell r="U1951">
            <v>19410</v>
          </cell>
          <cell r="V1951">
            <v>48525</v>
          </cell>
        </row>
        <row r="1952">
          <cell r="A1952">
            <v>1949</v>
          </cell>
          <cell r="B1952" t="str">
            <v>060.167.8238</v>
          </cell>
          <cell r="E1952" t="str">
            <v>Tubos. Endotraqueales sin globo. De elastómero de silicón transparente graduados con marca radiopaca estériles y desechables. Diámetro Interno: 2.5 mm Calibre: 10 Fr. Pieza</v>
          </cell>
          <cell r="U1952">
            <v>27459</v>
          </cell>
          <cell r="V1952">
            <v>68646</v>
          </cell>
        </row>
        <row r="1953">
          <cell r="A1953">
            <v>1950</v>
          </cell>
          <cell r="B1953" t="str">
            <v>060.167.8725</v>
          </cell>
          <cell r="E1953" t="str">
            <v>CANULAS. PARA TRAQUEOSTOMIA PEDIATRICA DE CLORURO DE POLIVINILO SIN GLOBORADIOPACA CON CONECTOR INCLUIDO CON ENTRADA DE 15 MM SIN ENDOCANULA CONOBTURADOR Y CINTA DE FIJACION. ESTERIL Y DESECHABLE. DIAMETRO INTERNO: 5.0 MM+/- 0.15 MM. DIAMETRO EXTERNO: 7.4 MM +/- 0.5 MM. LONGITUD: 45 MM +/- 5 MM.PIEZA.</v>
          </cell>
          <cell r="U1953">
            <v>1265</v>
          </cell>
          <cell r="V1953">
            <v>3160</v>
          </cell>
        </row>
        <row r="1954">
          <cell r="A1954">
            <v>1951</v>
          </cell>
          <cell r="B1954" t="str">
            <v>060.167.8758</v>
          </cell>
          <cell r="E1954" t="str">
            <v>Sondas. De nutrición enteral de poliuretano radiopaca con punta de tungsteno de 3 G por 114.3 cm con guía metálica bolsa de plástico y una sonda por bolsa. Estéril. Calibre: 8 Fr. Bolsa.</v>
          </cell>
          <cell r="U1954">
            <v>2378</v>
          </cell>
          <cell r="V1954">
            <v>5942</v>
          </cell>
        </row>
        <row r="1955">
          <cell r="A1955">
            <v>1952</v>
          </cell>
          <cell r="B1955" t="str">
            <v>060.167.8766</v>
          </cell>
          <cell r="E1955" t="str">
            <v>SONDAS. DE NUTRICIÓN ENTERAL DE POLIURETANO RADIOPACA CON PUNTA DE TUNGSTENO DE 3 G POR 114.3 CM CON GUÍA METÁLICA BOLSA DE PLÁSTICO Y UNA SONDA POR BOLSA. ESTÉRIL. CALIBRE: 10 FR. BOLSA.</v>
          </cell>
          <cell r="U1955">
            <v>1999</v>
          </cell>
          <cell r="V1955">
            <v>4996</v>
          </cell>
        </row>
        <row r="1956">
          <cell r="A1956">
            <v>1953</v>
          </cell>
          <cell r="B1956" t="str">
            <v>060.167.8774</v>
          </cell>
          <cell r="E1956" t="str">
            <v>SONDAS. DE NUTRICIÓN ENTERAL DE POLIURETANO RADIOPACA CON PUNTA DE TUNGSTENO DE 3 G POR 114.3 CM CON GUÍA METÁLICA BOLSA DE PLÁSTICO Y UNA SONDA POR BOLSA. ESTÉRIL. CALIBRE: 12 FR. BOLSA.</v>
          </cell>
          <cell r="U1956">
            <v>2949</v>
          </cell>
          <cell r="V1956">
            <v>7372</v>
          </cell>
        </row>
        <row r="1957">
          <cell r="A1957">
            <v>1954</v>
          </cell>
          <cell r="B1957" t="str">
            <v>060.167.8782</v>
          </cell>
          <cell r="E1957" t="str">
            <v>CATÉTERES. CATÉTER VENOSO, SUBCUTÁNEO, IMPLANTABLE, QUE CONTIENE: UN CONTENEDOR METÁLICO DE TITANIO CON MEMBRANA DE SILICÓN O POLIURETANO PARA PUNCIONAR Y UN CATÉTER DE ELASTÓMERO DE SILICÓN, PARA LA ADMINISTRACIÓN DE BOLO O INFUSIÓN CONTINUA. ESTÉRIL Y DESECHABLE. CALIBRE: 5 FR. PIEZA.</v>
          </cell>
          <cell r="U1957">
            <v>4275</v>
          </cell>
          <cell r="V1957">
            <v>10684</v>
          </cell>
        </row>
        <row r="1958">
          <cell r="A1958">
            <v>1955</v>
          </cell>
          <cell r="B1958" t="str">
            <v>060.168.0077</v>
          </cell>
          <cell r="E1958" t="str">
            <v>Sondas. Para aspirar secreciones. De plástico con válvula de control. Estéril y desechable. Tamaño: Adulto. Longitud: 55 cm Calibre: 18 Fr Diámetro Externo: 6.0 mm. Pieza.</v>
          </cell>
          <cell r="U1958">
            <v>1168673</v>
          </cell>
          <cell r="V1958">
            <v>2921681</v>
          </cell>
        </row>
        <row r="1959">
          <cell r="A1959">
            <v>1956</v>
          </cell>
          <cell r="B1959" t="str">
            <v>060.168.0085</v>
          </cell>
          <cell r="E1959" t="str">
            <v>Sondas. Para aspirar secreciones. De plástico con válvula de control. Estéril y desechable. Tamaño: Infantil. Longitud: 55 cm. Calibre: 10 Fr. Diámetro Externo: 3.3 mm. Pieza.</v>
          </cell>
          <cell r="U1959">
            <v>843774</v>
          </cell>
          <cell r="V1959">
            <v>2109435</v>
          </cell>
        </row>
        <row r="1960">
          <cell r="A1960">
            <v>1957</v>
          </cell>
          <cell r="B1960" t="str">
            <v>060.168.0440</v>
          </cell>
          <cell r="E1960" t="str">
            <v>CATETERES. PARA CATETERISMO VENOSO CENTRAL RADIOPACO ESTERIL Y DESECHABLE DEPOLIURETANO LONGITUD 30.5 CM CALIBRE 18 G CON AGUJA DE 5.2 A 6.5 CM DE LARGO DEPARED DELGADA CALIBRE 16 G CON MANDRIL Y ADAPTADOR PARA VENOCLISIS LUER LOCK.PIEZA.</v>
          </cell>
          <cell r="U1960">
            <v>6248</v>
          </cell>
          <cell r="V1960">
            <v>15617</v>
          </cell>
        </row>
        <row r="1961">
          <cell r="A1961">
            <v>1958</v>
          </cell>
          <cell r="B1961" t="str">
            <v>060.168.0945</v>
          </cell>
          <cell r="E1961" t="str">
            <v>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v>
          </cell>
          <cell r="U1961">
            <v>13385</v>
          </cell>
          <cell r="V1961">
            <v>33461</v>
          </cell>
        </row>
        <row r="1962">
          <cell r="A1962">
            <v>1959</v>
          </cell>
          <cell r="B1962" t="str">
            <v>060.168.1125</v>
          </cell>
          <cell r="E1962" t="str">
            <v>SONDAS. PARA URETRA. CON ROSCA EN LA PUNTA PARA ACOPLARSE A CANDELILLASFILIFORMES. TIPO: PHILLIPS. CALIBRE: 8 FR. PIEZA.</v>
          </cell>
          <cell r="U1962">
            <v>264</v>
          </cell>
          <cell r="V1962">
            <v>660</v>
          </cell>
        </row>
        <row r="1963">
          <cell r="A1963">
            <v>1960</v>
          </cell>
          <cell r="B1963" t="str">
            <v>060.168.1315</v>
          </cell>
          <cell r="E1963" t="str">
            <v>Tubos. Endotraqueales de plástico grado médico transparente. Con globo y espiral de alambre con balón y conector radiopaco estéril. Longitud: 28-30 cm Calibre: 34 Fr. Pieza.</v>
          </cell>
          <cell r="U1963">
            <v>2892</v>
          </cell>
          <cell r="V1963">
            <v>7229</v>
          </cell>
        </row>
        <row r="1964">
          <cell r="A1964">
            <v>1961</v>
          </cell>
          <cell r="B1964" t="str">
            <v>060.168.1356</v>
          </cell>
          <cell r="E1964"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v>
          </cell>
          <cell r="U1964">
            <v>42165</v>
          </cell>
          <cell r="V1964">
            <v>105409</v>
          </cell>
        </row>
        <row r="1965">
          <cell r="A1965">
            <v>1962</v>
          </cell>
          <cell r="B1965" t="str">
            <v>060.168.1406</v>
          </cell>
          <cell r="E1965" t="str">
            <v>Tubos. Endotraqueales de plástico grado médico transparente. Con globo y espiral de alambre con balón y conector radiopaco estéril. Longitud: 28-30 cm Calibre: 36 Fr. Pieza.</v>
          </cell>
          <cell r="U1965">
            <v>100</v>
          </cell>
          <cell r="V1965">
            <v>250</v>
          </cell>
        </row>
        <row r="1966">
          <cell r="A1966">
            <v>1963</v>
          </cell>
          <cell r="B1966" t="str">
            <v>060.168.1422</v>
          </cell>
          <cell r="E1966" t="str">
            <v>Tubos. Endotraqueales de plástico grado médico transparente. Con globo y espiral de alambre con balón y conector radiopaco estéril. Longitud: 28-30 cm Calibre: 32 Fr. Pieza.</v>
          </cell>
          <cell r="U1966">
            <v>4692</v>
          </cell>
          <cell r="V1966">
            <v>11728</v>
          </cell>
        </row>
        <row r="1967">
          <cell r="A1967">
            <v>1964</v>
          </cell>
          <cell r="B1967" t="str">
            <v>060.168.1430</v>
          </cell>
          <cell r="E1967" t="str">
            <v>Tubos. Endotraqueales de plástico grado médico transparente. Con globo y espiral de alambre con balón y conector radiopaco estéril. Longitud: 32-36 cm Calibre: 32 Fr. Pieza.</v>
          </cell>
          <cell r="U1967">
            <v>30546</v>
          </cell>
          <cell r="V1967">
            <v>76362</v>
          </cell>
        </row>
        <row r="1968">
          <cell r="A1968">
            <v>1965</v>
          </cell>
          <cell r="B1968" t="str">
            <v>060.168.1455</v>
          </cell>
          <cell r="E1968" t="str">
            <v>Tubos. Endotraqueales sin globo. De elastómero de silicón transparente graduados con marca radiopaca estériles y desechables. Diámetro Interno: 3.0 mm Calibre: 12 Fr. Pieza.</v>
          </cell>
          <cell r="U1968">
            <v>37156</v>
          </cell>
          <cell r="V1968">
            <v>92886</v>
          </cell>
        </row>
        <row r="1969">
          <cell r="A1969">
            <v>1966</v>
          </cell>
          <cell r="B1969" t="str">
            <v>060.168.1752</v>
          </cell>
          <cell r="E1969" t="str">
            <v>Sondas. Para drenaje urinario. De látex punta redonda. Tipo: Nelaton. Longitud: 40 cm Calibre: 8 Fr. Pieza.</v>
          </cell>
          <cell r="U1969">
            <v>134601</v>
          </cell>
          <cell r="V1969">
            <v>336502</v>
          </cell>
        </row>
        <row r="1970">
          <cell r="A1970">
            <v>1967</v>
          </cell>
          <cell r="B1970" t="str">
            <v>060.168.1844</v>
          </cell>
          <cell r="E1970" t="str">
            <v>TUBOS. ENDOTRAQUEALES DE PLÁSTICO GRADO MÉDICO TRANSPARENTE. CON GLOBO Y ESPIRAL DE ALAMBRE CON BALÓN Y CONECTOR RADIOPACO ESTÉRIL. LONGITUD: 32-36 CM CALIBRE: 34 FR. PIEZA.</v>
          </cell>
          <cell r="U1970">
            <v>17315</v>
          </cell>
          <cell r="V1970">
            <v>43285</v>
          </cell>
        </row>
        <row r="1971">
          <cell r="A1971">
            <v>1968</v>
          </cell>
          <cell r="B1971" t="str">
            <v>060.168.1893</v>
          </cell>
          <cell r="E1971" t="str">
            <v>Tubos. Endotraqueales de plástico grado médico transparente. Con globo y espiral de alambre con balón y conector radiopaco estéril. Longitud: 32-36 cm Calibre: 36 Fr. Pieza.</v>
          </cell>
          <cell r="U1971">
            <v>10078</v>
          </cell>
          <cell r="V1971">
            <v>25192</v>
          </cell>
        </row>
        <row r="1972">
          <cell r="A1972">
            <v>1969</v>
          </cell>
          <cell r="B1972" t="str">
            <v>060.168.1943</v>
          </cell>
          <cell r="E1972" t="str">
            <v>Tubos. Endotraqueales de plástico grado médico transparente. Con globo y espiral de alambre con balón y conector radiopaco estéril. Longitud: 32-36 cm Calibre: 38 Fr. Pieza.</v>
          </cell>
          <cell r="U1972">
            <v>6575</v>
          </cell>
          <cell r="V1972">
            <v>16436</v>
          </cell>
        </row>
        <row r="1973">
          <cell r="A1973">
            <v>1970</v>
          </cell>
          <cell r="B1973" t="str">
            <v>060.168.2214</v>
          </cell>
          <cell r="E1973"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v>
          </cell>
          <cell r="U1973">
            <v>44279</v>
          </cell>
          <cell r="V1973">
            <v>110694</v>
          </cell>
        </row>
        <row r="1974">
          <cell r="A1974">
            <v>1971</v>
          </cell>
          <cell r="B1974" t="str">
            <v>060.168.2446</v>
          </cell>
          <cell r="E1974"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v>
          </cell>
          <cell r="U1974">
            <v>54263</v>
          </cell>
          <cell r="V1974">
            <v>135657</v>
          </cell>
        </row>
        <row r="1975">
          <cell r="A1975">
            <v>1972</v>
          </cell>
          <cell r="B1975" t="str">
            <v>060.168.2453</v>
          </cell>
          <cell r="E1975" t="str">
            <v>CATETERES. PARA CATETERISMO VENOSO CENTRAL RADIOPACO ESTERIL Y DESECHABLE DEPOLIURETANO QUE PERMITA RETIRAR LA AGUJA Y EL MANDRIL UNA VEZ INSTALADO,LONGITUD 30.5 CM CALIBRE 16 G CON AGUJA DE 5.2 A 6.5 CM DE LARGO DE PAREDDELGADA CALIBRE 14 G CON MANDRIL Y ADAPTADOR PARA VENOCLISIS LUER LOCK. PIEZA.</v>
          </cell>
          <cell r="U1975">
            <v>6627</v>
          </cell>
          <cell r="V1975">
            <v>16566</v>
          </cell>
        </row>
        <row r="1976">
          <cell r="A1976">
            <v>1973</v>
          </cell>
          <cell r="B1976" t="str">
            <v>060.168.2495</v>
          </cell>
          <cell r="E1976"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v>
          </cell>
          <cell r="U1976">
            <v>70797</v>
          </cell>
          <cell r="V1976">
            <v>176991</v>
          </cell>
        </row>
        <row r="1977">
          <cell r="A1977">
            <v>1974</v>
          </cell>
          <cell r="B1977" t="str">
            <v>060.168.2511</v>
          </cell>
          <cell r="E1977"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v>
          </cell>
          <cell r="U1977">
            <v>253079</v>
          </cell>
          <cell r="V1977">
            <v>632696</v>
          </cell>
        </row>
        <row r="1978">
          <cell r="A1978">
            <v>1975</v>
          </cell>
          <cell r="B1978" t="str">
            <v>060.168.2529</v>
          </cell>
          <cell r="E1978"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v>
          </cell>
          <cell r="U1978">
            <v>275876</v>
          </cell>
          <cell r="V1978">
            <v>689687</v>
          </cell>
        </row>
        <row r="1979">
          <cell r="A1979">
            <v>1976</v>
          </cell>
          <cell r="B1979" t="str">
            <v>060.168.2537</v>
          </cell>
          <cell r="E1979"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v>
          </cell>
          <cell r="U1979">
            <v>212714</v>
          </cell>
          <cell r="V1979">
            <v>531783</v>
          </cell>
        </row>
        <row r="1980">
          <cell r="A1980">
            <v>1977</v>
          </cell>
          <cell r="B1980" t="str">
            <v>060.168.2552</v>
          </cell>
          <cell r="E1980"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v>
          </cell>
          <cell r="U1980">
            <v>118585</v>
          </cell>
          <cell r="V1980">
            <v>296461</v>
          </cell>
        </row>
        <row r="1981">
          <cell r="A1981">
            <v>1978</v>
          </cell>
          <cell r="B1981" t="str">
            <v>060.168.2560</v>
          </cell>
          <cell r="E1981"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9.0 mm Calibre: 36 Fr. Pieza.</v>
          </cell>
          <cell r="U1981">
            <v>48964</v>
          </cell>
          <cell r="V1981">
            <v>122408</v>
          </cell>
        </row>
        <row r="1982">
          <cell r="A1982">
            <v>1979</v>
          </cell>
          <cell r="B1982" t="str">
            <v>060.168.2578</v>
          </cell>
          <cell r="E1982" t="str">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v>
          </cell>
          <cell r="U1982">
            <v>31155</v>
          </cell>
          <cell r="V1982">
            <v>77885</v>
          </cell>
        </row>
        <row r="1983">
          <cell r="A1983">
            <v>1980</v>
          </cell>
          <cell r="B1983" t="str">
            <v>060.168.2594</v>
          </cell>
          <cell r="E1983" t="str">
            <v>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10.0 MM.CALIBRE: 40 FR. PIEZA.</v>
          </cell>
          <cell r="U1983">
            <v>12560</v>
          </cell>
          <cell r="V1983">
            <v>31398</v>
          </cell>
        </row>
        <row r="1984">
          <cell r="A1984">
            <v>1981</v>
          </cell>
          <cell r="B1984" t="str">
            <v>060.168.3238</v>
          </cell>
          <cell r="E1984" t="str">
            <v>SONDAS PARA DRENAJE. EN FORMA DE T. DE LATEX. TIPO: KEHR. CALIBRE. 10 FR. PIEZA.</v>
          </cell>
          <cell r="U1984">
            <v>5119</v>
          </cell>
          <cell r="V1984">
            <v>12795</v>
          </cell>
        </row>
        <row r="1985">
          <cell r="A1985">
            <v>1982</v>
          </cell>
          <cell r="B1985" t="str">
            <v>060.168.3311</v>
          </cell>
          <cell r="E1985" t="str">
            <v>Sondas. Para drenaje urinario. De látex con globo de autorretención de 3 ml con válvula para jeringa. Estéril y desechable. Tipo: Foley de dos vías. Calibre: 8 Fr. Pieza.</v>
          </cell>
          <cell r="U1985">
            <v>53444</v>
          </cell>
          <cell r="V1985">
            <v>133610</v>
          </cell>
        </row>
        <row r="1986">
          <cell r="A1986">
            <v>1983</v>
          </cell>
          <cell r="B1986" t="str">
            <v>060.168.3360</v>
          </cell>
          <cell r="E1986" t="str">
            <v>CATETERES. PARA CATETERISMO VENOSO. DE SILICON RADIOPACO ESTERIL Y DESECHABLE.CON AGUJA DE PARED DELGADA NO. 14 G MANDRIL ENTORCHADO Y ADAPTADOR. LONGITUD: 60CM CALIBRE: 16 FR DIAMETRO EXTERNO: 1.7 MM. PIEZA.</v>
          </cell>
          <cell r="U1986">
            <v>3168</v>
          </cell>
          <cell r="V1986">
            <v>7916</v>
          </cell>
        </row>
        <row r="1987">
          <cell r="A1987">
            <v>1984</v>
          </cell>
          <cell r="B1987" t="str">
            <v>060.168.3733</v>
          </cell>
          <cell r="E1987" t="str">
            <v>CATETERES PARA URETRA. CON ROSCA EN LA PUNTA PARA ACOPLARSE A CANDELILLASFILIFORMES. TIPO: PHILLIPS. CALIBRE 11 FR. PIEZA.</v>
          </cell>
          <cell r="U1987">
            <v>28</v>
          </cell>
          <cell r="V1987">
            <v>66</v>
          </cell>
        </row>
        <row r="1988">
          <cell r="A1988">
            <v>1985</v>
          </cell>
          <cell r="B1988" t="str">
            <v>060.168.4194</v>
          </cell>
          <cell r="E1988" t="str">
            <v>Catéteres. Para septostomía. De poliéster punta cerrada con  globo y doble lumen radiopaco. Tipo: rashkind. Longitud:  50 cm. Calibre: 5  Fr. Pieza.</v>
          </cell>
          <cell r="U1988">
            <v>33</v>
          </cell>
          <cell r="V1988">
            <v>81</v>
          </cell>
        </row>
        <row r="1989">
          <cell r="A1989">
            <v>1986</v>
          </cell>
          <cell r="B1989" t="str">
            <v>060.168.4277</v>
          </cell>
          <cell r="E1989" t="str">
            <v>Sondas. Gastrointestinales desechables y con marca radiopaca. Tipo: levin. Calibre: 12 Fr. Pieza.</v>
          </cell>
          <cell r="U1989">
            <v>143124</v>
          </cell>
          <cell r="V1989">
            <v>357809</v>
          </cell>
        </row>
        <row r="1990">
          <cell r="A1990">
            <v>1987</v>
          </cell>
          <cell r="B1990" t="str">
            <v>060.168.4418</v>
          </cell>
          <cell r="E1990" t="str">
            <v>Sondas. Gastrointestinales desechables y con marca radiopaca. Tipo: levin. Calibre: 18 Fr. Pieza.</v>
          </cell>
          <cell r="U1990">
            <v>230419</v>
          </cell>
          <cell r="V1990">
            <v>576044</v>
          </cell>
        </row>
        <row r="1991">
          <cell r="A1991">
            <v>1988</v>
          </cell>
          <cell r="B1991" t="str">
            <v>060.168.5340</v>
          </cell>
          <cell r="E1991" t="str">
            <v>Tubos. Endotraqueales sin globo. De elastómero de silicón transparente graduados con marca radiopaca estériles y desechables. Diámetro Interno: 3.5 mm Calibre: 14 Fr. Pieza</v>
          </cell>
          <cell r="U1991">
            <v>35878</v>
          </cell>
          <cell r="V1991">
            <v>89692</v>
          </cell>
        </row>
        <row r="1992">
          <cell r="A1992">
            <v>1989</v>
          </cell>
          <cell r="B1992" t="str">
            <v>060.168.5365</v>
          </cell>
          <cell r="E1992" t="str">
            <v>Tubos. Endotraqueales sin globo. De elastómero de silicón transparente graduados con marca radiopaca estériles y desechables. Diámetro Interno: 4.0 mm Calibre: 16 Fr. Pieza</v>
          </cell>
          <cell r="U1992">
            <v>33355</v>
          </cell>
          <cell r="V1992">
            <v>83387</v>
          </cell>
        </row>
        <row r="1993">
          <cell r="A1993">
            <v>1990</v>
          </cell>
          <cell r="B1993" t="str">
            <v>060.168.5381</v>
          </cell>
          <cell r="E1993" t="str">
            <v>Tubos. Endotraqueales sin globo. De elastómero de silicón transparente graduados con marca radiopaca estériles y desechables. Diámetro Interno: 4.5 mm Calibre: 18 Fr. Pieza</v>
          </cell>
          <cell r="U1993">
            <v>23943</v>
          </cell>
          <cell r="V1993">
            <v>59855</v>
          </cell>
        </row>
        <row r="1994">
          <cell r="A1994">
            <v>1991</v>
          </cell>
          <cell r="B1994" t="str">
            <v>060.168.5399</v>
          </cell>
          <cell r="E1994" t="str">
            <v>Tubos. Endotraqueales sin globo. De elastómero de silicón transparente graduados con marca radiopaca estériles y desechables. Diámetro Interno: 5.0 mm Calibre: 20 Fr. Pieza</v>
          </cell>
          <cell r="U1994">
            <v>19830</v>
          </cell>
          <cell r="V1994">
            <v>49572</v>
          </cell>
        </row>
        <row r="1995">
          <cell r="A1995">
            <v>1992</v>
          </cell>
          <cell r="B1995" t="str">
            <v>060.168.5407</v>
          </cell>
          <cell r="E1995" t="str">
            <v>Tubos. Endotraqueales sin globo. De elastómero de silicón transparente graduados con marca radiopaca estériles y desechables. Diámetro Interno: 5.5 mm Calibre: 22 Fr. Pieza</v>
          </cell>
          <cell r="U1995">
            <v>13613</v>
          </cell>
          <cell r="V1995">
            <v>34029</v>
          </cell>
        </row>
        <row r="1996">
          <cell r="A1996">
            <v>1993</v>
          </cell>
          <cell r="B1996" t="str">
            <v>060.168.5431</v>
          </cell>
          <cell r="E1996" t="str">
            <v>Tubos. Endotraqueales sin globo. De elastómero de silicón transparente graduados con marca radiopaca estériles y desechables. Diámetro Interno: 6.0 mm Calibre: 24 Fr. Pieza</v>
          </cell>
          <cell r="U1996">
            <v>16212</v>
          </cell>
          <cell r="V1996">
            <v>40527</v>
          </cell>
        </row>
        <row r="1997">
          <cell r="A1997">
            <v>1994</v>
          </cell>
          <cell r="B1997" t="str">
            <v>060.168.5456</v>
          </cell>
          <cell r="E1997" t="str">
            <v>Tubos. Endotraqueales sin globo. De elastómero de silicón transparente graduados con marca radiopaca estériles y desechables. Diámetro Interno: 6.5 mm Calibre: 26 Fr. Pieza</v>
          </cell>
          <cell r="U1997">
            <v>20675</v>
          </cell>
          <cell r="V1997">
            <v>51686</v>
          </cell>
        </row>
        <row r="1998">
          <cell r="A1998">
            <v>1995</v>
          </cell>
          <cell r="B1998" t="str">
            <v>060.168.6413</v>
          </cell>
          <cell r="E1998" t="str">
            <v>Sondas. Uretrales para irrigación continua. De látex con globo de 30 ml y válvula. Tipo: foley-owen (de 3 vías). Calibre: 18 Fr. Pieza.</v>
          </cell>
          <cell r="U1998">
            <v>388</v>
          </cell>
          <cell r="V1998">
            <v>968</v>
          </cell>
        </row>
        <row r="1999">
          <cell r="A1999">
            <v>1996</v>
          </cell>
          <cell r="B1999" t="str">
            <v>060.168.6439</v>
          </cell>
          <cell r="E1999" t="str">
            <v>Sondas. Uretrales para irrigación continua. De látex con globo de 30 ml y válvula. Tipo: foley-owen (de 3 vías). Calibre: 20 Fr. Pieza.</v>
          </cell>
          <cell r="U1999">
            <v>48996</v>
          </cell>
          <cell r="V1999">
            <v>122486</v>
          </cell>
        </row>
        <row r="2000">
          <cell r="A2000">
            <v>1997</v>
          </cell>
          <cell r="B2000" t="str">
            <v>060.168.6454</v>
          </cell>
          <cell r="E2000" t="str">
            <v>Sondas. Uretrales para irrigación continua. De látex con globo de 30 ml y válvula. Tipo: foley-owen (de 3 vías). Calibre: 22 Fr. Pieza.</v>
          </cell>
          <cell r="U2000">
            <v>39274</v>
          </cell>
          <cell r="V2000">
            <v>98184</v>
          </cell>
        </row>
        <row r="2001">
          <cell r="A2001">
            <v>1998</v>
          </cell>
          <cell r="B2001" t="str">
            <v>060.168.6512</v>
          </cell>
          <cell r="E2001" t="str">
            <v>Sondas. Uretrales para irrigación continua. De látex con globo de 30 ml y válvula. Tipo: foley-owen (de 3 vías). Calibre: 24 Fr. Pieza.</v>
          </cell>
          <cell r="U2001">
            <v>25093</v>
          </cell>
          <cell r="V2001">
            <v>62731</v>
          </cell>
        </row>
        <row r="2002">
          <cell r="A2002">
            <v>1999</v>
          </cell>
          <cell r="B2002" t="str">
            <v>060.168.6595</v>
          </cell>
          <cell r="E2002" t="str">
            <v>Sondas. Para drenaje urinario. De látex punta redonda. Tipo: nelaton. Longitud: 40 cm. Calibre: 10 Fr. Pieza.</v>
          </cell>
          <cell r="U2002">
            <v>121393</v>
          </cell>
          <cell r="V2002">
            <v>303481</v>
          </cell>
        </row>
        <row r="2003">
          <cell r="A2003">
            <v>2000</v>
          </cell>
          <cell r="B2003" t="str">
            <v>060.168.6603</v>
          </cell>
          <cell r="E2003" t="str">
            <v>Catéteres. Para venoclisis. De Fluoropolímeros (Politetrafluoretileno Fluoretilenpropileno y Etilentrifluoretileno) o poliuretano radiopaco con aguja. Longitud: 46-52 mm Calibre: 14 G. Envase con 50 piezas.*Para la adquisición de estas claves deberá acatarse el material específico que solicite cada institución.</v>
          </cell>
          <cell r="U2003">
            <v>39259</v>
          </cell>
          <cell r="V2003">
            <v>98145</v>
          </cell>
        </row>
        <row r="2004">
          <cell r="A2004">
            <v>2001</v>
          </cell>
          <cell r="B2004" t="str">
            <v>060.168.6611</v>
          </cell>
          <cell r="E2004" t="str">
            <v>Sondas. Para drenaje urinario. De látex punta redonda. Tipo: Nelaton. Longitud: 40 cm Calibre: 12 Fr. Pieza.</v>
          </cell>
          <cell r="U2004">
            <v>177490</v>
          </cell>
          <cell r="V2004">
            <v>443722</v>
          </cell>
        </row>
        <row r="2005">
          <cell r="A2005">
            <v>2002</v>
          </cell>
          <cell r="B2005" t="str">
            <v>060.168.6629</v>
          </cell>
          <cell r="E2005" t="str">
            <v>Catéteres. Para venoclisis. De Fluoropolímeros (Politetrafluoretileno Fluoretilenpropileno y Etilentrifluoretileno) o poliuretano radiopaco con aguja. Longitud: 46-52 mm Calibre: 16 G.Envase con 50 piezas.*Para la adquisición de estas claves deberá acatarse el material específico que solicite cada institución.</v>
          </cell>
          <cell r="U2005">
            <v>72876</v>
          </cell>
          <cell r="V2005">
            <v>182188</v>
          </cell>
        </row>
        <row r="2006">
          <cell r="A2006">
            <v>2003</v>
          </cell>
          <cell r="B2006" t="str">
            <v>060.168.6637</v>
          </cell>
          <cell r="E2006" t="str">
            <v>Sondas. Para drenaje urinario. De látex punta redonda. Tipo: Nelaton. Longitud: 40 cm Calibre: 14 Fr. Pieza.</v>
          </cell>
          <cell r="U2006">
            <v>515200</v>
          </cell>
          <cell r="V2006">
            <v>1287997</v>
          </cell>
        </row>
        <row r="2007">
          <cell r="A2007">
            <v>2004</v>
          </cell>
          <cell r="B2007" t="str">
            <v>060.168.6645</v>
          </cell>
          <cell r="E2007" t="str">
            <v>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v>
          </cell>
          <cell r="U2007">
            <v>276074</v>
          </cell>
          <cell r="V2007">
            <v>690184</v>
          </cell>
        </row>
        <row r="2008">
          <cell r="A2008">
            <v>2005</v>
          </cell>
          <cell r="B2008" t="str">
            <v>060.168.6652</v>
          </cell>
          <cell r="E2008" t="str">
            <v>Sondas. Para drenaje urinario. De látex punta redonda. Tipo: nelaton. Longitud: 40 cm. Calibre: 16 Fr. Pieza.</v>
          </cell>
          <cell r="U2008">
            <v>636870</v>
          </cell>
          <cell r="V2008">
            <v>1592171</v>
          </cell>
        </row>
        <row r="2009">
          <cell r="A2009">
            <v>2006</v>
          </cell>
          <cell r="B2009" t="str">
            <v>060.168.6660</v>
          </cell>
          <cell r="E2009" t="str">
            <v>Catéteres. Para venoclisis. De Fluoropolímeros (Politetrafluoretileno Fluoretilenpropileno y Etilentrifluoretileno) o poliuretano radiopaco con aguja. Longitud: 28-34 mm Calibre: 20 G. Envase con 50 piezas.*Para la adquisición de estas claves deberá acatarse el material específico que solicite cada institución.</v>
          </cell>
          <cell r="U2009">
            <v>237808</v>
          </cell>
          <cell r="V2009">
            <v>594518</v>
          </cell>
        </row>
        <row r="2010">
          <cell r="A2010">
            <v>2007</v>
          </cell>
          <cell r="B2010" t="str">
            <v>060.168.6678</v>
          </cell>
          <cell r="E2010" t="str">
            <v>Sondas. Para drenaje urinario. De látex punta redonda. Tipo: nelaton. Longitud: 40 cm. Calibre: 18 Fr. Pieza.</v>
          </cell>
          <cell r="U2010">
            <v>359634</v>
          </cell>
          <cell r="V2010">
            <v>899081</v>
          </cell>
        </row>
        <row r="2011">
          <cell r="A2011">
            <v>2008</v>
          </cell>
          <cell r="B2011" t="str">
            <v>060.168.6686</v>
          </cell>
          <cell r="E2011" t="str">
            <v>Catéteres. Para venoclisis. De Fluoropolímeros (Politetrafluoretileno Fluoretilenpropileno y Etilentrifluoretileno) o poliuretano radiopaco con aguja. Longitud: 23-27 mm Calibre: 22 G. Envase con 50 piezas.*Para la adquisición de estas claves deberá acatarse el material específico que solicite cada institución.</v>
          </cell>
          <cell r="U2011">
            <v>228110</v>
          </cell>
          <cell r="V2011">
            <v>570273</v>
          </cell>
        </row>
        <row r="2012">
          <cell r="A2012">
            <v>2009</v>
          </cell>
          <cell r="B2012" t="str">
            <v>060.168.8138</v>
          </cell>
          <cell r="E2012" t="str">
            <v>CANULAS. PARA TRAQUEOSTOMIA ADULTO DE CLORURO DE POLIVINILO CON BALON CURVADACINTA DE FIJACION GLOBO DE BAJA PRESION Y ALTO VOLUMEN RADIOPACA CON ENDOCANULAPLACA DE RETENCION DE LA ENDOCANULA Y GUIA DE INSERCION. ESTERIL Y DESECHABLE.DIAMETRO INTERNO: 8.0 MM +/- 0.2 MM. DIAMETRO EXTERNO: 11.3 MM +/- 0.5 MM.LONGITUD: 74 MM +/- 5 MM. PIEZA.</v>
          </cell>
          <cell r="U2012">
            <v>10916</v>
          </cell>
          <cell r="V2012">
            <v>27287</v>
          </cell>
        </row>
        <row r="2013">
          <cell r="A2013">
            <v>2010</v>
          </cell>
          <cell r="B2013" t="str">
            <v>060.168.8146</v>
          </cell>
          <cell r="E2013" t="str">
            <v>CÁNULAS. PARA TRAQUEOSTOMÍA ADULTO DE CLORURO DE POLIVINILO CON BALÓN CURVADA CINTA DE FIJACIÓN GLOBO DE BAJA PRESIÓN Y ALTO VOLUMEN RADIOPACA CON ENDOCÁNULA PLACA DE RETENCIÓN DE LA ENDOCÁNULA Y GUÍA DE INSERCIÓN. ESTÉRIL Y DESECHABLE. DIÁMETRO INTERNO: 9.0 MM ± 0.2 MM. DIÁMETRO EXTERNO: 11.4 MM ± 1.2 MM. LONGITUD: 80 MM ± 5 MM. PIEZA.</v>
          </cell>
          <cell r="U2013">
            <v>5881</v>
          </cell>
          <cell r="V2013">
            <v>14700</v>
          </cell>
        </row>
        <row r="2014">
          <cell r="A2014">
            <v>2011</v>
          </cell>
          <cell r="B2014" t="str">
            <v>060.168.8161</v>
          </cell>
          <cell r="E2014" t="str">
            <v>CANULAS. PARA TRAQUEOSTOMIA ADULTO DE CLORURO DE POLIVINILO CON BALON CURVADACINTA DE FIJACION GLOBO DE BAJA PRESION Y ALTO VOLUMEN RADIOPACA CON ENDOCANULAPLACA DE RETENCION DE LA ENDOCANULA Y GUIA DE INSERCION. ESTERIL Y DESECHABLE.DIAMETRO INTERNO: 10.0 MM +/- 0.2 MM. DIAMETRO EXTERNO: 13.0 MM +/- 1.0 MM.LONGITUD: 84 MM +/- 5 MM. PIEZA.</v>
          </cell>
          <cell r="U2014">
            <v>8881</v>
          </cell>
          <cell r="V2014">
            <v>22201</v>
          </cell>
        </row>
        <row r="2015">
          <cell r="A2015">
            <v>2012</v>
          </cell>
          <cell r="B2015" t="str">
            <v>060.168.8211</v>
          </cell>
          <cell r="E2015" t="str">
            <v>CANULAS. PARA TRAQUEOSTOMIA ADULTO DE CLORURO DE POLIVINILO SIN GLOBO RADIOPACA,CON ENDOCANULA. PLACA DE RETENCION, CON ANILLO ROSCADO PARA LA FIJACION DE LAENDOCANULA Y GUIA DE INSERCION. ESTERIL Y DESECHABLE. DIAMETRO INTERNO: 6.0 MM+/- 0.2 MM. DIAMETRO EXTERNO: 8.5 MM +/- 0.5 MM. LONGITUD: 64 MM +/- 5 MM.PIEZA.</v>
          </cell>
          <cell r="U2015">
            <v>2481</v>
          </cell>
          <cell r="V2015">
            <v>6201</v>
          </cell>
        </row>
        <row r="2016">
          <cell r="A2016">
            <v>2013</v>
          </cell>
          <cell r="B2016" t="str">
            <v>060.168.8237</v>
          </cell>
          <cell r="E2016" t="str">
            <v>Cánulas. Para traqueostomía adulto de cloruro de polivinilo sin globo radio paco con endocánula. Placa de retención con anillo roscado para la fijación de la endocánula y guía de inserción. Estéril y desechable. Diámetro interno: 7.0 mm ± 0.2 mm. Diámetro externo: 9.6 mm ± 0.5 mm. Longitud: 70 mm ± 5 mm. Pieza.</v>
          </cell>
          <cell r="U2016">
            <v>5386</v>
          </cell>
          <cell r="V2016">
            <v>13463</v>
          </cell>
        </row>
        <row r="2017">
          <cell r="A2017">
            <v>2014</v>
          </cell>
          <cell r="B2017" t="str">
            <v>060.168.8245</v>
          </cell>
          <cell r="E2017" t="str">
            <v>CANULAS. PARA TRAQUEOSTOMIA ADULTO DE CLORURO DE POLIVINILO SIN GLOBO RADIO PACOCON ENDOCANULA. PLACA DE RETENCION CON ANILLO ROSCADO PARA LA FIJACION DE LAENDOCANULA Y GUIA DE INSERCION. ESTERIL Y DESECHABLE. DIAMETRO INTERNO: 8.0 MM+/- 0.2 MM. DIAMETRO EXTERNO: 11.3 MM +/- 0.5 MM. LONGITUD: 74 MM +/- 5 MM.PIEZA.</v>
          </cell>
          <cell r="U2017">
            <v>596</v>
          </cell>
          <cell r="V2017">
            <v>1488</v>
          </cell>
        </row>
        <row r="2018">
          <cell r="A2018">
            <v>2015</v>
          </cell>
          <cell r="B2018" t="str">
            <v>060.168.8302</v>
          </cell>
          <cell r="E2018" t="str">
            <v>SONDAS. PARA DRENAJE URINARIO. DE LÁTEX PUNTA REDONDA. TIPO: NELATON. LONGITUD: 40 CM. CALIBRE: 20 FR. PIEZA.</v>
          </cell>
          <cell r="U2018">
            <v>83511</v>
          </cell>
          <cell r="V2018">
            <v>208774</v>
          </cell>
        </row>
        <row r="2019">
          <cell r="A2019">
            <v>2016</v>
          </cell>
          <cell r="B2019" t="str">
            <v>060.168.8310</v>
          </cell>
          <cell r="E2019" t="str">
            <v>Sondas. Para drenaje urinario. De látex punta redonda. Tipo: nelaton. Longitud: 40 cm. Calibre: 22 Fr. Pieza.</v>
          </cell>
          <cell r="U2019">
            <v>50376</v>
          </cell>
          <cell r="V2019">
            <v>125939</v>
          </cell>
        </row>
        <row r="2020">
          <cell r="A2020">
            <v>2017</v>
          </cell>
          <cell r="B2020" t="str">
            <v>060.168.8328</v>
          </cell>
          <cell r="E2020" t="str">
            <v>Sondas. Para drenaje urinario. De látex punta redonda. Tipo: nelaton. Longitud: 40 cm. Calibre: 24 Fr. Pieza.</v>
          </cell>
          <cell r="U2020">
            <v>38275</v>
          </cell>
          <cell r="V2020">
            <v>95685</v>
          </cell>
        </row>
        <row r="2021">
          <cell r="A2021">
            <v>2018</v>
          </cell>
          <cell r="B2021" t="str">
            <v>060.168.9243</v>
          </cell>
          <cell r="E2021" t="str">
            <v>Sondas. Para alimentación. De plástico transparente estéril y desechable con un orificio en el extremo proximal y otro en los primeros 2 cm. Tamaño: Prematuros Longitud: 38.5 cm Calibre: 5 Fr.</v>
          </cell>
          <cell r="U2021">
            <v>2149977</v>
          </cell>
          <cell r="V2021">
            <v>5374940</v>
          </cell>
        </row>
        <row r="2022">
          <cell r="A2022">
            <v>2019</v>
          </cell>
          <cell r="B2022" t="str">
            <v>060.168.9367</v>
          </cell>
          <cell r="E2022" t="str">
            <v>CATETERES. PARA DIALISIS PERITONEAL. DE PLASTICO RIGIDO ESTERIL Y DESECHABLE CONORIFICIOS LATERALES ESTILETE METALICO Y TUBO DE CONEXION. TAMAÑO: INFANTIL.PIEZA.</v>
          </cell>
          <cell r="U2022">
            <v>33946</v>
          </cell>
          <cell r="V2022">
            <v>84862</v>
          </cell>
        </row>
        <row r="2023">
          <cell r="A2023">
            <v>2020</v>
          </cell>
          <cell r="B2023" t="str">
            <v>060.168.9375</v>
          </cell>
          <cell r="E2023" t="str">
            <v>CATÉTERES. PARA DIÁLISIS PERITONEAL. DE PLÁSTICO RÍGIDO ESTÉRIL Y DESECHABLE CON ORIFICIOS LATERALES ESTILETE METÁLICO Y TUBO DE CONEXIÓN. TAMAÑO: ADULTO.</v>
          </cell>
          <cell r="U2023">
            <v>3407</v>
          </cell>
          <cell r="V2023">
            <v>8516</v>
          </cell>
        </row>
        <row r="2024">
          <cell r="A2024">
            <v>2021</v>
          </cell>
          <cell r="B2024" t="str">
            <v>060.168.9417</v>
          </cell>
          <cell r="E2024" t="str">
            <v>SONDAS. PARA DRENAJE. EN FORMA DE T. DE LÁTEX. TIPO: KEHR. CALIBRE: 12 FR. PIEZA.</v>
          </cell>
          <cell r="U2024">
            <v>5135</v>
          </cell>
          <cell r="V2024">
            <v>12835</v>
          </cell>
        </row>
        <row r="2025">
          <cell r="A2025">
            <v>2022</v>
          </cell>
          <cell r="B2025" t="str">
            <v>060.168.9425</v>
          </cell>
          <cell r="E2025" t="str">
            <v>SONDAS. PARA DRENAJE. EN FORMA DE T. DE LÁTEX. TIPO: KEHR. CALIBRE: 14 FR. PIEZA.</v>
          </cell>
          <cell r="U2025">
            <v>14159</v>
          </cell>
          <cell r="V2025">
            <v>35395</v>
          </cell>
        </row>
        <row r="2026">
          <cell r="A2026">
            <v>2023</v>
          </cell>
          <cell r="B2026" t="str">
            <v>060.168.9433</v>
          </cell>
          <cell r="E2026" t="str">
            <v>SONDAS. PARA DRENAJE. EN FORMA DE T. DE LÁTEX. TIPO: KEHR. CALIBRE: 16 FR. PIEZA.</v>
          </cell>
          <cell r="U2026">
            <v>14002</v>
          </cell>
          <cell r="V2026">
            <v>35003</v>
          </cell>
        </row>
        <row r="2027">
          <cell r="A2027">
            <v>2024</v>
          </cell>
          <cell r="B2027" t="str">
            <v>060.168.9441</v>
          </cell>
          <cell r="E2027" t="str">
            <v>SONDAS. PARA DRENAJE. EN FORMA DE T. DE LÁTEX. TIPO: KEHR. CALIBRE: 18 FR. PIEZA.</v>
          </cell>
          <cell r="U2027">
            <v>7738</v>
          </cell>
          <cell r="V2027">
            <v>19342</v>
          </cell>
        </row>
        <row r="2028">
          <cell r="A2028">
            <v>2025</v>
          </cell>
          <cell r="B2028" t="str">
            <v>060.168.9482</v>
          </cell>
          <cell r="E2028" t="str">
            <v>Sondas. Para drenaje urinario. De látex con globo de autorretención de 3 ml con válvula para jeringa. Estéril y desechable. Tipo: foley de dos vías. Calibre: 10 Fr. Pieza.</v>
          </cell>
          <cell r="U2028">
            <v>60937</v>
          </cell>
          <cell r="V2028">
            <v>152342</v>
          </cell>
        </row>
        <row r="2029">
          <cell r="A2029">
            <v>2026</v>
          </cell>
          <cell r="B2029" t="str">
            <v>060.168.9607</v>
          </cell>
          <cell r="E2029" t="str">
            <v>Sondas. Para drenaje urinario. De látex estériles desechables con globo de autorretención de 5 ml con válvula para jeringa. Tipo: foley de dos vías. Calibre: 10 Fr. Pieza.</v>
          </cell>
          <cell r="U2029">
            <v>5918</v>
          </cell>
          <cell r="V2029">
            <v>14792</v>
          </cell>
        </row>
        <row r="2030">
          <cell r="A2030">
            <v>2027</v>
          </cell>
          <cell r="B2030" t="str">
            <v>060.168.9615</v>
          </cell>
          <cell r="E2030" t="str">
            <v>Sondas. Para drenaje urinario. De látex con globo de autorretención de 5 ml con válvula para jeringa. Estéril y desechable. Tipo: foley de dos vías. Calibre: 12 Fr. Pieza.</v>
          </cell>
          <cell r="U2030">
            <v>120546</v>
          </cell>
          <cell r="V2030">
            <v>301365</v>
          </cell>
        </row>
        <row r="2031">
          <cell r="A2031">
            <v>2028</v>
          </cell>
          <cell r="B2031" t="str">
            <v>060.168.9623</v>
          </cell>
          <cell r="E2031" t="str">
            <v>Sondas. Para drenaje urinario. De látex con globo de autorretención de 5 ml con válvula para jeringa. Estéril y desechable. Tipo: foley de dos vías. Calibre: 14 Fr. Pieza.</v>
          </cell>
          <cell r="U2031">
            <v>616536</v>
          </cell>
          <cell r="V2031">
            <v>1541338</v>
          </cell>
        </row>
        <row r="2032">
          <cell r="A2032">
            <v>2029</v>
          </cell>
          <cell r="B2032" t="str">
            <v>060.168.9631</v>
          </cell>
          <cell r="E2032" t="str">
            <v>Sondas. Para drenaje urinario. De látex con globo de autorretención de 5 ml con válvula para jeringa. Estéril y desechable. Tipo: foley de dos vías. Calibre: 16 Fr. Pieza.</v>
          </cell>
          <cell r="U2032">
            <v>1218771</v>
          </cell>
          <cell r="V2032">
            <v>3046926</v>
          </cell>
        </row>
        <row r="2033">
          <cell r="A2033">
            <v>2030</v>
          </cell>
          <cell r="B2033" t="str">
            <v>060.168.9649</v>
          </cell>
          <cell r="E2033" t="str">
            <v>Sondas. Para drenaje urinario. De látex con globo de autorretención de 5 ml con válvula para jeringa. Estéril y desechable. Tipo: foley de dos vías. Calibre: 18 Fr. Pieza.</v>
          </cell>
          <cell r="U2033">
            <v>541977</v>
          </cell>
          <cell r="V2033">
            <v>1354939</v>
          </cell>
        </row>
        <row r="2034">
          <cell r="A2034">
            <v>2031</v>
          </cell>
          <cell r="B2034" t="str">
            <v>060.168.9656</v>
          </cell>
          <cell r="E2034" t="str">
            <v>Sondas. Para drenaje urinario. De látex con globo de autorretención de 5 ml con válvula para jeringa. Estéril y desechable. Tipo: foley de dos vías. Calibre: 20 Fr. Pieza.</v>
          </cell>
          <cell r="U2034">
            <v>157107</v>
          </cell>
          <cell r="V2034">
            <v>392765</v>
          </cell>
        </row>
        <row r="2035">
          <cell r="A2035">
            <v>2032</v>
          </cell>
          <cell r="B2035" t="str">
            <v>060.168.9664</v>
          </cell>
          <cell r="E2035" t="str">
            <v>Sondas. Para drenaje urinario. De látex con globo de autorretención de 5 ml con válvula para jeringa. Estéril y desechable. Tipo: foley de dos vías. Calibre: 22 Fr. Pieza.</v>
          </cell>
          <cell r="U2035">
            <v>91838</v>
          </cell>
          <cell r="V2035">
            <v>229594</v>
          </cell>
        </row>
        <row r="2036">
          <cell r="A2036">
            <v>2033</v>
          </cell>
          <cell r="B2036" t="str">
            <v>060.168.9672</v>
          </cell>
          <cell r="E2036" t="str">
            <v>Sondas. Para drenaje urinario. De látex con globo de autorretención de 5 ml con válvula para jeringa. Estéril y desechable. Tipo: foley de dos vías. Calibre: 24 Fr. Pieza.</v>
          </cell>
          <cell r="U2036">
            <v>46705</v>
          </cell>
          <cell r="V2036">
            <v>116761</v>
          </cell>
        </row>
        <row r="2037">
          <cell r="A2037">
            <v>2034</v>
          </cell>
          <cell r="B2037" t="str">
            <v>060.168.9748</v>
          </cell>
          <cell r="E2037" t="str">
            <v>SONDAS. PARA DRENAJE URINARIO. DE LÁTEX CON GLOBO DE AUTORRETENCIÓN DE 30 ML CON VÁLVULA PARA JERINGA. ESTÉRIL Y DESECHABLE. TIPO: FOLEY DE DOS VÍAS. CALIBRE: 14 FR. PIEZA.</v>
          </cell>
          <cell r="U2037">
            <v>6608</v>
          </cell>
          <cell r="V2037">
            <v>16517</v>
          </cell>
        </row>
        <row r="2038">
          <cell r="A2038">
            <v>2035</v>
          </cell>
          <cell r="B2038" t="str">
            <v>060.168.9755</v>
          </cell>
          <cell r="E2038" t="str">
            <v>Sondas. Para drenaje urinario. De látex con globo de autorretención de 30 ml con válvula para jeringa. Estéril y desechable. Tipo: foley de dos vías. Calibre: 16 Fr. Pieza.</v>
          </cell>
          <cell r="U2038">
            <v>5727</v>
          </cell>
          <cell r="V2038">
            <v>14315</v>
          </cell>
        </row>
        <row r="2039">
          <cell r="A2039">
            <v>2036</v>
          </cell>
          <cell r="B2039" t="str">
            <v>060.168.9763</v>
          </cell>
          <cell r="E2039" t="str">
            <v>Sondas. Para drenaje urinario. De látex con globo de autorretención de 30 ml con válvula para jeringa. Estéril y desechable. Tipo: foley de dos vías. Calibre: 18 Fr. Pieza.</v>
          </cell>
          <cell r="U2039">
            <v>2197</v>
          </cell>
          <cell r="V2039">
            <v>5489</v>
          </cell>
        </row>
        <row r="2040">
          <cell r="A2040">
            <v>2037</v>
          </cell>
          <cell r="B2040" t="str">
            <v>060.168.9771</v>
          </cell>
          <cell r="E2040" t="str">
            <v>SONDAS. PARA DRENAJE URINARIO. DE LÁTEX CON GLOBO DE AUTORRETENCIÓN DE 30 ML CON VÁLVULA PARA JERINGA. ESTÉRIL Y DESECHABLE. TIPO: FOLEY DE DOS VÍAS. CALIBRE: 20 FR. PIEZA.</v>
          </cell>
          <cell r="U2040">
            <v>26067</v>
          </cell>
          <cell r="V2040">
            <v>65165</v>
          </cell>
        </row>
        <row r="2041">
          <cell r="A2041">
            <v>2038</v>
          </cell>
          <cell r="B2041" t="str">
            <v>060.168.9789</v>
          </cell>
          <cell r="E2041" t="str">
            <v>Sondas. Para drenaje urinario. De látex con globo de autorretención de 30 ml con válvula para jeringa. Estéril y desechable. Tipo: foley de dos vías. Calibre: 22 Fr. Pieza.</v>
          </cell>
          <cell r="U2041">
            <v>19482</v>
          </cell>
          <cell r="V2041">
            <v>48704</v>
          </cell>
        </row>
        <row r="2042">
          <cell r="A2042">
            <v>2039</v>
          </cell>
          <cell r="B2042" t="str">
            <v>060.168.9797</v>
          </cell>
          <cell r="E2042" t="str">
            <v>Sondas. Para drenaje urinario. De  látex  con  globo  de  autorretención  de  30  ml  con válvula para jeringa. Estéril y desechable. Tipo: foley de dos vías. Calibre: 24 Fr. Pieza.</v>
          </cell>
          <cell r="U2042">
            <v>16804</v>
          </cell>
          <cell r="V2042">
            <v>42008</v>
          </cell>
        </row>
        <row r="2043">
          <cell r="A2043">
            <v>2040</v>
          </cell>
          <cell r="B2043" t="str">
            <v>060.168.9870</v>
          </cell>
          <cell r="E2043" t="str">
            <v>SONDAS. PARA ESÓFAGO. DE TRES VÍAS PUNTA CERRADA CON CUATRO ORIFICIOS DE LÁTEX CON ARILLO RADIOPACO. ESTÉRIL Y DESECHABLE. TIPO: SENGSTAKEN BLAKEMORE. LONGITUD: 100 CM. CALIBRE: 18 FR. PIEZA.</v>
          </cell>
          <cell r="U2043">
            <v>6228</v>
          </cell>
          <cell r="V2043">
            <v>15567</v>
          </cell>
        </row>
        <row r="2044">
          <cell r="A2044">
            <v>2041</v>
          </cell>
          <cell r="B2044" t="str">
            <v>060.168.9888</v>
          </cell>
          <cell r="E2044" t="str">
            <v>Sondas. Para esófago. De tres vías punta cerrada con cuatro orificios de látex con arillo radiopaco. Estéril y desechable. Tipo: sengstaken blakemore. Longitud: 100 cm.Calibre: . 21 Fr. Pieza.</v>
          </cell>
          <cell r="U2044">
            <v>2895</v>
          </cell>
          <cell r="V2044">
            <v>7237</v>
          </cell>
        </row>
        <row r="2045">
          <cell r="A2045">
            <v>2042</v>
          </cell>
          <cell r="B2045" t="str">
            <v>060.168.9896</v>
          </cell>
          <cell r="E2045" t="str">
            <v>Sondas. Gastrointestinales desechables y con marca radiopaca. Tipo: levin. Calibre: 14 Fr. Pieza.</v>
          </cell>
          <cell r="U2045">
            <v>261276</v>
          </cell>
          <cell r="V2045">
            <v>653190</v>
          </cell>
        </row>
        <row r="2046">
          <cell r="A2046">
            <v>2043</v>
          </cell>
          <cell r="B2046" t="str">
            <v>060.168.9904</v>
          </cell>
          <cell r="E2046" t="str">
            <v>Sondas. Gastrointestinales desechables y con marca radiopaca. Tipo: levin. Calibre: 16 Fr. Pieza.</v>
          </cell>
          <cell r="U2046">
            <v>324942</v>
          </cell>
          <cell r="V2046">
            <v>812352</v>
          </cell>
        </row>
        <row r="2047">
          <cell r="A2047">
            <v>2044</v>
          </cell>
          <cell r="B2047" t="str">
            <v>060.172.0014</v>
          </cell>
          <cell r="E2047" t="str">
            <v>Catéteres. Catéter  balón  con  sistema  sobre  la guía  o  intercambio  rápido.  Longitud utilizable de 80 a 180 mm. Consta de un  cuerpo  o  eje  de  doble  lumen  o coaxial;  dos  marcadores  radiopacos extremo proximal con un conector en Y; extremo distal con un balón cerrado con presión de inflado de 7 atmósferas y presión de ruptura de 14 atmósferas. Diámetro del balón de 1.5 a 8.0 mm. Longitud del balón de 10 a 220 mm. Las  unidades  médicas  seleccionarán longitud de catéter; diámetro y longitud.</v>
          </cell>
          <cell r="U2047">
            <v>8864</v>
          </cell>
          <cell r="V2047">
            <v>22158</v>
          </cell>
        </row>
        <row r="2048">
          <cell r="A2048">
            <v>2045</v>
          </cell>
          <cell r="B2048" t="str">
            <v>060.172.0022</v>
          </cell>
          <cell r="E2048" t="str">
            <v>Catéteres. Catéter  balón  con  sistema  sobre  la guía  o  intercambio  rápido.  Longitud utilizable de 80 a 150 cm. Consta de un  cuerpo  o  eje  de  doble  lumen  o coaxial;  dos  marcadores  radiopacos extremo proximal con un conector en Y; extremo distal con un balón cerrado con presión de inflado de 7 atmósferas y presión de ruptura de 15 atmósferas. Diámetro del balón de 1.5 a 8.0 mm. Longitud del balón de 10 a 220 mm. Las  unidades  médicas  seleccionarán longitud de catéter; diámetro y longitud del    balón    de    acuerdo    a    sus necesidades.</v>
          </cell>
          <cell r="U2048">
            <v>77</v>
          </cell>
          <cell r="V2048">
            <v>191</v>
          </cell>
        </row>
        <row r="2049">
          <cell r="A2049">
            <v>2046</v>
          </cell>
          <cell r="B2049" t="str">
            <v>060.172.0055</v>
          </cell>
          <cell r="E2049" t="str">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ell>
          <cell r="U2049">
            <v>112561</v>
          </cell>
          <cell r="V2049">
            <v>281400</v>
          </cell>
        </row>
        <row r="2050">
          <cell r="A2050">
            <v>2047</v>
          </cell>
          <cell r="B2050" t="str">
            <v>060.172.0063</v>
          </cell>
          <cell r="E2050" t="str">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ell>
          <cell r="U2050">
            <v>177976</v>
          </cell>
          <cell r="V2050">
            <v>444938</v>
          </cell>
        </row>
        <row r="2051">
          <cell r="A2051">
            <v>2048</v>
          </cell>
          <cell r="B2051" t="str">
            <v>060.172.0071</v>
          </cell>
          <cell r="E2051" t="str">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ell>
          <cell r="U2051">
            <v>98173</v>
          </cell>
          <cell r="V2051">
            <v>245431</v>
          </cell>
        </row>
        <row r="2052">
          <cell r="A2052">
            <v>2049</v>
          </cell>
          <cell r="B2052" t="str">
            <v>060.172.0089</v>
          </cell>
          <cell r="E2052" t="str">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6.0 mm Pieza.</v>
          </cell>
          <cell r="U2052">
            <v>11972</v>
          </cell>
          <cell r="V2052">
            <v>29928</v>
          </cell>
        </row>
        <row r="2053">
          <cell r="A2053">
            <v>2050</v>
          </cell>
          <cell r="B2053" t="str">
            <v>060.172.0097</v>
          </cell>
          <cell r="E2053" t="str">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6.5 mm Pieza.</v>
          </cell>
          <cell r="U2053">
            <v>12802</v>
          </cell>
          <cell r="V2053">
            <v>32003</v>
          </cell>
        </row>
        <row r="2054">
          <cell r="A2054">
            <v>2051</v>
          </cell>
          <cell r="B2054" t="str">
            <v>060.172.0105</v>
          </cell>
          <cell r="E2054" t="str">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v>
          </cell>
          <cell r="U2054">
            <v>18575</v>
          </cell>
          <cell r="V2054">
            <v>46436</v>
          </cell>
        </row>
        <row r="2055">
          <cell r="A2055">
            <v>2052</v>
          </cell>
          <cell r="B2055" t="str">
            <v>060.172.0113</v>
          </cell>
          <cell r="E2055" t="str">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v>
          </cell>
          <cell r="U2055">
            <v>17301</v>
          </cell>
          <cell r="V2055">
            <v>43250</v>
          </cell>
        </row>
        <row r="2056">
          <cell r="A2056">
            <v>2053</v>
          </cell>
          <cell r="B2056" t="str">
            <v>060.172.0121</v>
          </cell>
          <cell r="E2056" t="str">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v>
          </cell>
          <cell r="U2056">
            <v>16320</v>
          </cell>
          <cell r="V2056">
            <v>40797</v>
          </cell>
        </row>
        <row r="2057">
          <cell r="A2057">
            <v>2054</v>
          </cell>
          <cell r="B2057" t="str">
            <v>060.172.0139</v>
          </cell>
          <cell r="E2057" t="str">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v>
          </cell>
          <cell r="U2057">
            <v>15640</v>
          </cell>
          <cell r="V2057">
            <v>39098</v>
          </cell>
        </row>
        <row r="2058">
          <cell r="A2058">
            <v>2055</v>
          </cell>
          <cell r="B2058" t="str">
            <v>060.172.0147</v>
          </cell>
          <cell r="E2058" t="str">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9.0 mm Pieza.</v>
          </cell>
          <cell r="U2058">
            <v>7084</v>
          </cell>
          <cell r="V2058">
            <v>17707</v>
          </cell>
        </row>
        <row r="2059">
          <cell r="A2059">
            <v>2056</v>
          </cell>
          <cell r="B2059" t="str">
            <v>060.172.0170</v>
          </cell>
          <cell r="E2059" t="str">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ell>
          <cell r="U2059">
            <v>33298</v>
          </cell>
          <cell r="V2059">
            <v>83242</v>
          </cell>
        </row>
        <row r="2060">
          <cell r="A2060">
            <v>2057</v>
          </cell>
          <cell r="B2060" t="str">
            <v>060.172.0188</v>
          </cell>
          <cell r="E2060" t="str">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ell>
          <cell r="U2060">
            <v>52290</v>
          </cell>
          <cell r="V2060">
            <v>130724</v>
          </cell>
        </row>
        <row r="2061">
          <cell r="A2061">
            <v>2058</v>
          </cell>
          <cell r="B2061" t="str">
            <v>060.172.0196</v>
          </cell>
          <cell r="E2061" t="str">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ell>
          <cell r="U2061">
            <v>47462</v>
          </cell>
          <cell r="V2061">
            <v>118653</v>
          </cell>
        </row>
        <row r="2062">
          <cell r="A2062">
            <v>2059</v>
          </cell>
          <cell r="B2062" t="str">
            <v>060.172.0493</v>
          </cell>
          <cell r="E2062" t="str">
            <v>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v>
          </cell>
          <cell r="U2062">
            <v>6464</v>
          </cell>
          <cell r="V2062">
            <v>16158</v>
          </cell>
        </row>
        <row r="2063">
          <cell r="A2063">
            <v>2060</v>
          </cell>
          <cell r="B2063" t="str">
            <v>060.172.0501</v>
          </cell>
          <cell r="E2063" t="str">
            <v>CATÉTER CENTRAL DE INSERCIÓN PERIFÉRICA. Catéter indicado para el acceso periférico a corto o largo plazo al sistema venoso central para la terapia intravenosa, para la inyección de medios de contraste y la monitorización de la presión venosa central. 5F un lumen Contenido: Envase con 1 o 5 piezas</v>
          </cell>
          <cell r="U2063">
            <v>4970</v>
          </cell>
          <cell r="V2063">
            <v>12422</v>
          </cell>
        </row>
        <row r="2064">
          <cell r="A2064">
            <v>2061</v>
          </cell>
          <cell r="B2064" t="str">
            <v>060.172.0519</v>
          </cell>
          <cell r="E2064" t="str">
            <v>CATÉTER CENTRAL DE INSERCIÓN PERIFÉRICA. Catéter indicado para el acceso periférico a corto o largo plazo al sistema venoso central para la terapia intravenosa, para la inyección de medios de contraste y la monitorización de la presión venosa central. 5F doble lumen Contenido: Envase con 1 o 5 piezas</v>
          </cell>
          <cell r="U2064">
            <v>5420</v>
          </cell>
          <cell r="V2064">
            <v>13546</v>
          </cell>
        </row>
        <row r="2065">
          <cell r="A2065">
            <v>2062</v>
          </cell>
          <cell r="B2065" t="str">
            <v>060.172.0527</v>
          </cell>
          <cell r="E2065" t="str">
            <v>CATÉTER CENTRAL DE INSERCIÓN PERIFÉRICA. Catéter indicado para el acceso periférico a corto o largo plazo al sistema venoso central para la terapia intravenosa, para la inyección de medios de contraste y la monitorización de la presión venosa central. 5F triple lumen Contenido: Envase con 1 o 5 piezas</v>
          </cell>
          <cell r="U2065">
            <v>6442</v>
          </cell>
          <cell r="V2065">
            <v>16102</v>
          </cell>
        </row>
        <row r="2066">
          <cell r="A2066">
            <v>2063</v>
          </cell>
          <cell r="B2066" t="str">
            <v>060.172.0535</v>
          </cell>
          <cell r="E2066" t="str">
            <v>CATÉTER CENTRAL DE INSERCIÓN PERIFÉRICA. Catéter indicado para el acceso periférico a corto o largo plazo al sistema venoso central para la terapia intravenosa, para la inyección de medios de contraste y la monitorización de la presión venosa central. 6F doble lumen Contenido: Envase con 1 o 5 piezas</v>
          </cell>
          <cell r="U2066">
            <v>4608</v>
          </cell>
          <cell r="V2066">
            <v>11519</v>
          </cell>
        </row>
        <row r="2067">
          <cell r="A2067">
            <v>2064</v>
          </cell>
          <cell r="B2067" t="str">
            <v>060.172.0543</v>
          </cell>
          <cell r="E2067" t="str">
            <v>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v>
          </cell>
          <cell r="U2067">
            <v>6193</v>
          </cell>
          <cell r="V2067">
            <v>15480</v>
          </cell>
        </row>
        <row r="2068">
          <cell r="A2068">
            <v>2065</v>
          </cell>
          <cell r="B2068" t="str">
            <v>060.182.0087</v>
          </cell>
          <cell r="E2068" t="str">
            <v>Cementos Para hueso de polimetilmetacrilato con 40 g en polvo polímero y 20 ml en líquido monómero. Viscosidad normal o doble viscosidad. Pieza.</v>
          </cell>
          <cell r="U2068">
            <v>2772</v>
          </cell>
          <cell r="V2068">
            <v>6927</v>
          </cell>
        </row>
        <row r="2069">
          <cell r="A2069">
            <v>2066</v>
          </cell>
          <cell r="B2069" t="str">
            <v>060.182.0160</v>
          </cell>
          <cell r="E2069" t="str">
            <v>CEMENTOS. IONOMERO DE VIDRIO I. PARA CEMENTACIONES DEFINITIVAS. POLVO 35 G.SILICATO DE ALUMINIO 95% -97%. ACIDO POLIACRILICO 3% - 5%. LIQUIDO 25 G 20 ML.ACIDO POLIACRILICO 75%. ACIDO POLIBASICO 10-15%. JUEGO.</v>
          </cell>
          <cell r="U2069">
            <v>4597</v>
          </cell>
          <cell r="V2069">
            <v>11490</v>
          </cell>
        </row>
        <row r="2070">
          <cell r="A2070">
            <v>2067</v>
          </cell>
          <cell r="B2070" t="str">
            <v>060.182.0178</v>
          </cell>
          <cell r="E2070" t="str">
            <v>Cementos. Ionómero de vidrio restaurativo II.Color No. 21. Polvo 15 g. Silicato de aluminio 95% -97%. Ácido poliacrílico 3% - 5%. Líquido 10 g 8 ml.Ácido poliacrílico 75%. Ácido tartárico 10% -15%. Barniz compatible líquido 10 g. Estuche.</v>
          </cell>
          <cell r="U2070">
            <v>19975</v>
          </cell>
          <cell r="V2070">
            <v>49936</v>
          </cell>
        </row>
        <row r="2071">
          <cell r="A2071">
            <v>2068</v>
          </cell>
          <cell r="B2071" t="str">
            <v>060.182.0186</v>
          </cell>
          <cell r="E2071" t="str">
            <v>CEMENTOS. IONOMERO DE VIDRIO RESTAURATIVO II. COLOR NO. 22. POLVO 15 G. SILICATODE ALUMINIO 95% -97%. ACIDO POLIACRILICO 3% -5%. LIQUIDO 10 G, 8 ML. ACIDOPOLIACRILICO 75%. ACIDO TARTARICO 10% - 15%. BARNIZ COMPATIBLE LIQUIDO 10 G.JUEGO.</v>
          </cell>
          <cell r="U2071">
            <v>9093</v>
          </cell>
          <cell r="V2071">
            <v>22730</v>
          </cell>
        </row>
        <row r="2072">
          <cell r="A2072">
            <v>2069</v>
          </cell>
          <cell r="B2072" t="str">
            <v>060.182.0194</v>
          </cell>
          <cell r="E2072" t="str">
            <v>CEMENTOS. IONÓMERO DE VIDRIO CON ALEACIÓN DE LIMADURA DE PLATA. POLVO 15 G. SILICATO DE ALUMINIO 100%. LÍQUIDO 10 G 8 ML.  ÁCIDO POLIACRÍLICO 45%. POLVO DE LIMADURA DE PLATA 17 G. PLATA 56% ESTAÑO 29% COBRE 15%. ESTUCHE.</v>
          </cell>
          <cell r="U2072">
            <v>984</v>
          </cell>
          <cell r="V2072">
            <v>2457</v>
          </cell>
        </row>
        <row r="2073">
          <cell r="A2073">
            <v>2070</v>
          </cell>
          <cell r="B2073" t="str">
            <v>060.182.0228</v>
          </cell>
          <cell r="E2073" t="str">
            <v>Cementos. Ionómero de vidrio.Para tratamiento restaurativo atraumático.Polvo: 10 g. Silicato de aluminio 89 -95%. Ácido poliacrílico 0.-10%. Líquido 6 g 4.8 ml agua destilada.Ácido poliacrílico 40 -50%.Barniz 5 g.Cloruro de polivinil 10 -20%.Acetato etílico 75 -85%. Estuche.</v>
          </cell>
          <cell r="U2073">
            <v>12549</v>
          </cell>
          <cell r="V2073">
            <v>31371</v>
          </cell>
        </row>
        <row r="2074">
          <cell r="A2074">
            <v>2071</v>
          </cell>
          <cell r="B2074" t="str">
            <v>060.182.0236</v>
          </cell>
          <cell r="E2074" t="str">
            <v>Cementos. Dental para uso quirúrgico. Polvo óxido de zinc. Polvo rosa. Talco. Líquido: Eugenol. Alcohol isopropílico al 10%. Resina de pino. Aceite de pino. Aceite de clavo. Aceite de cacahuate. Estuche.</v>
          </cell>
          <cell r="U2074">
            <v>17139</v>
          </cell>
          <cell r="V2074">
            <v>42845</v>
          </cell>
        </row>
        <row r="2075">
          <cell r="A2075">
            <v>2072</v>
          </cell>
          <cell r="B2075" t="str">
            <v>060.182.1150</v>
          </cell>
          <cell r="E2075" t="str">
            <v>Protector Pulpar. Para sellar cavidades dentales. De hidróxido de calcio compuesto autopolimerizable dos pastas semilíquidas base 13 g y catalizador 11 g con bloque de papel para mezclar. Estuche con un juego y aplicador desechable.</v>
          </cell>
          <cell r="U2075">
            <v>35646</v>
          </cell>
          <cell r="V2075">
            <v>89113</v>
          </cell>
        </row>
        <row r="2076">
          <cell r="A2076">
            <v>2073</v>
          </cell>
          <cell r="B2076" t="str">
            <v>060.182.1176</v>
          </cell>
          <cell r="E2076" t="str">
            <v>Cementos. Dentales. De oxifosfato de zinc. Polvo y líquido. Caja con 32 g de polvo y 15 ml de solvente. Estuche.</v>
          </cell>
          <cell r="U2076">
            <v>44</v>
          </cell>
          <cell r="V2076">
            <v>108</v>
          </cell>
        </row>
        <row r="2077">
          <cell r="A2077">
            <v>2074</v>
          </cell>
          <cell r="B2077" t="str">
            <v>060.182.1275</v>
          </cell>
          <cell r="E2077" t="str">
            <v>Cementos. Dentales. Para restauración intermedia. De óxido de zinc (polvo) 38 g y eugenol (líquido) 14 ml. Con gotero de plástico. Juego.</v>
          </cell>
          <cell r="U2077">
            <v>22500</v>
          </cell>
          <cell r="V2077">
            <v>56248</v>
          </cell>
        </row>
        <row r="2078">
          <cell r="A2078">
            <v>2075</v>
          </cell>
          <cell r="B2078" t="str">
            <v>060.182.1283</v>
          </cell>
          <cell r="E2078" t="str">
            <v>Cementos. Dental para uso quirúrgico para sellar conductos radiculares. Polvo de óxido de zinc y sulfato de calcio (resina). Líquido: 7 ml (Eugenol). Juego.</v>
          </cell>
          <cell r="U2078">
            <v>24</v>
          </cell>
          <cell r="V2078">
            <v>60</v>
          </cell>
        </row>
        <row r="2079">
          <cell r="A2079">
            <v>2076</v>
          </cell>
          <cell r="B2079" t="str">
            <v>060.182.1366</v>
          </cell>
          <cell r="E2079" t="str">
            <v>CEMENTOS. DENTALES. PARA USO QUIRURGICO. DE OXIDO DE ZINC CON ENDURECEDOR(POLVO) 65 G Y EUGENOL (LIQUIDO) 30 ML. CON GOTERO DE PLASTICO. EQUIPO.</v>
          </cell>
          <cell r="U2079">
            <v>4397</v>
          </cell>
          <cell r="V2079">
            <v>10989</v>
          </cell>
        </row>
        <row r="2080">
          <cell r="A2080">
            <v>2077</v>
          </cell>
          <cell r="B2080" t="str">
            <v>060.182.1424</v>
          </cell>
          <cell r="E2080" t="str">
            <v>Cementos. Ionómero de vidrio I. Para cementaciones definitivas. Polvo 35 g. Vidrio de silicato de aluminio tratado con silano 98%. Polímero de celulosa &lt; 1.5%. Dióxido de titanio &lt; 1%. Catalizador para polimerización &lt;1%. Líquido 22.5 ml. Copo limero de ácido acrílico y ácido Itacónico 35%. Agua 35%. 2-hidroxietil-metacrilato 30%. Ácido di carboxílico 1%. Juego.</v>
          </cell>
          <cell r="U2080">
            <v>20</v>
          </cell>
          <cell r="V2080">
            <v>48</v>
          </cell>
        </row>
        <row r="2081">
          <cell r="A2081">
            <v>2078</v>
          </cell>
          <cell r="B2081" t="str">
            <v>060.182.1432</v>
          </cell>
          <cell r="E2081" t="str">
            <v>Cementos Para hueso metilmetacrilato con polímero monómero y antibiótico. 40 g en polvo polímero y 20 ml en líquido monómero. Pieza.</v>
          </cell>
          <cell r="U2081">
            <v>133947</v>
          </cell>
          <cell r="V2081">
            <v>334866</v>
          </cell>
        </row>
        <row r="2082">
          <cell r="A2082">
            <v>2079</v>
          </cell>
          <cell r="B2082" t="str">
            <v>060.182.1440</v>
          </cell>
          <cell r="E2082" t="str">
            <v>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v>
          </cell>
          <cell r="U2082">
            <v>53</v>
          </cell>
          <cell r="V2082">
            <v>130</v>
          </cell>
        </row>
        <row r="2083">
          <cell r="A2083">
            <v>2080</v>
          </cell>
          <cell r="B2083" t="str">
            <v>060.189.0015</v>
          </cell>
          <cell r="E2083" t="str">
            <v>Cepillos. Dental para adulto con mango de plástico y cerdas rectas de nylon 6.12 100% virgen o poliéster P.B.T. 100% virgen de puntas redondeadas en 4 hileras cabeza corta consistencia mediana. Pieza.</v>
          </cell>
          <cell r="U2083">
            <v>40800896</v>
          </cell>
          <cell r="V2083">
            <v>102002239</v>
          </cell>
        </row>
        <row r="2084">
          <cell r="A2084">
            <v>2081</v>
          </cell>
          <cell r="B2084" t="str">
            <v>060.189.0023</v>
          </cell>
          <cell r="E2084" t="str">
            <v>Cepillos. Para pulido de amalgamas y profilaxis. De cerdas blancas en forma de copa. Para pieza de mano. Pieza</v>
          </cell>
          <cell r="U2084">
            <v>649638</v>
          </cell>
          <cell r="V2084">
            <v>1624093</v>
          </cell>
        </row>
        <row r="2085">
          <cell r="A2085">
            <v>2082</v>
          </cell>
          <cell r="B2085" t="str">
            <v>060.189.0031</v>
          </cell>
          <cell r="E2085" t="str">
            <v>Cepillos. Para pulido de amalgamas y profilaxis. De cerdas negras en forma de brocha. Para contra-ángulo. Pieza.</v>
          </cell>
          <cell r="U2085">
            <v>651712</v>
          </cell>
          <cell r="V2085">
            <v>1629278</v>
          </cell>
        </row>
        <row r="2086">
          <cell r="A2086">
            <v>2083</v>
          </cell>
          <cell r="B2086" t="str">
            <v>060.189.0049</v>
          </cell>
          <cell r="E2086" t="str">
            <v>Cepillos. Para estudio citológico (toma de muestra) del canal endocervical a base de colector celular con cerdas suaves fijadas a un mango aristado. Estéril y desechable. Pieza.</v>
          </cell>
          <cell r="U2086">
            <v>9479676</v>
          </cell>
          <cell r="V2086">
            <v>23699188</v>
          </cell>
        </row>
        <row r="2087">
          <cell r="A2087">
            <v>2084</v>
          </cell>
          <cell r="B2087" t="str">
            <v>060.189.0056</v>
          </cell>
          <cell r="E2087" t="str">
            <v>Cepillos.. Para lavado de instrumental. Con cerdas de fibra vegetal lechuguilla. Pieza.</v>
          </cell>
          <cell r="U2087">
            <v>157978</v>
          </cell>
          <cell r="V2087">
            <v>394942</v>
          </cell>
        </row>
        <row r="2088">
          <cell r="A2088">
            <v>2085</v>
          </cell>
          <cell r="B2088" t="str">
            <v>060.189.0106</v>
          </cell>
          <cell r="E2088" t="str">
            <v>Cepillos. Dental infantil con mango de plástico y cerdas rectas de nylon 6.12 100% virgen o poliéster P.B.T. 100% virgen de puntas redondeadas en 3 hileras cabeza corta consistencia mediana. Pieza.</v>
          </cell>
          <cell r="U2088">
            <v>14858270</v>
          </cell>
          <cell r="V2088">
            <v>37145672</v>
          </cell>
        </row>
        <row r="2089">
          <cell r="A2089">
            <v>2086</v>
          </cell>
          <cell r="B2089" t="str">
            <v>060.189.0205</v>
          </cell>
          <cell r="E2089" t="str">
            <v>Cepillos. Para pulido de amalgamas y profilaxis. De cerdas negras en forma de brocha. Para pieza de mano. Pieza.</v>
          </cell>
          <cell r="U2089">
            <v>437822</v>
          </cell>
          <cell r="V2089">
            <v>1094553</v>
          </cell>
        </row>
        <row r="2090">
          <cell r="A2090">
            <v>2087</v>
          </cell>
          <cell r="B2090" t="str">
            <v>060.189.0254</v>
          </cell>
          <cell r="E2090" t="str">
            <v>Cepillos. Para pulido de amalgamas y profilaxis. De cerdas blancas en forma de copa. Para contra-ángulo. Pieza.</v>
          </cell>
          <cell r="U2090">
            <v>847894</v>
          </cell>
          <cell r="V2090">
            <v>2119731</v>
          </cell>
        </row>
        <row r="2091">
          <cell r="A2091">
            <v>2088</v>
          </cell>
          <cell r="B2091" t="str">
            <v>060.189.0304</v>
          </cell>
          <cell r="E2091" t="str">
            <v>CEPILLOS. PARA USO QUIRURGICO. DE PLASTICO DE FORMA RECTANGULAR CON DOSAGARRADERAS LATERALES SIMETRICAS Y CERDAS DE NYLON. PIEZA.</v>
          </cell>
          <cell r="U2091">
            <v>395293</v>
          </cell>
          <cell r="V2091">
            <v>988232</v>
          </cell>
        </row>
        <row r="2092">
          <cell r="A2092">
            <v>2089</v>
          </cell>
          <cell r="B2092" t="str">
            <v>060.196.0057</v>
          </cell>
          <cell r="E2092" t="str">
            <v>Ceras. Para huesos (pasta de Beck). Estéril sobre con 2.5 g. Envase con 12 sobres.</v>
          </cell>
          <cell r="U2092">
            <v>42006</v>
          </cell>
          <cell r="V2092">
            <v>105015</v>
          </cell>
        </row>
        <row r="2093">
          <cell r="A2093">
            <v>2090</v>
          </cell>
          <cell r="B2093" t="str">
            <v>060.196.0065</v>
          </cell>
          <cell r="E2093" t="str">
            <v>Material para Impresión y Accesorios. Cera rosa del No.7 para uso dental. Envase con 10 tabletas. Pieza.</v>
          </cell>
          <cell r="U2093">
            <v>4844</v>
          </cell>
          <cell r="V2093">
            <v>12108</v>
          </cell>
        </row>
        <row r="2094">
          <cell r="A2094">
            <v>2091</v>
          </cell>
          <cell r="B2094" t="str">
            <v>060.203.0058</v>
          </cell>
          <cell r="E2094" t="str">
            <v>CINTAS. PARA PORTAMATRIZ. DE AMALGAMA METALICA DE 5 MM DE LONGITUD. ENVASE CON12 PIEZAS.</v>
          </cell>
          <cell r="U2094">
            <v>5821</v>
          </cell>
          <cell r="V2094">
            <v>14550</v>
          </cell>
        </row>
        <row r="2095">
          <cell r="A2095">
            <v>2092</v>
          </cell>
          <cell r="B2095" t="str">
            <v>060.203.0066</v>
          </cell>
          <cell r="E2095" t="str">
            <v>CINTAS. PARA PORTAMATRIZ. DE AMALGAMA METALICA DE 7 MM DE LONGITUD. ENVASE CON12 PIEZAS.</v>
          </cell>
          <cell r="U2095">
            <v>7157</v>
          </cell>
          <cell r="V2095">
            <v>17889</v>
          </cell>
        </row>
        <row r="2096">
          <cell r="A2096">
            <v>2093</v>
          </cell>
          <cell r="B2096" t="str">
            <v>060.203.0108</v>
          </cell>
          <cell r="E2096" t="str">
            <v>Cintas. Métrica. Ahulada graduada en centímetros y milímetros. Longitud: 1.50 m. Pieza.</v>
          </cell>
          <cell r="U2096">
            <v>162291</v>
          </cell>
          <cell r="V2096">
            <v>405725</v>
          </cell>
        </row>
        <row r="2097">
          <cell r="A2097">
            <v>2094</v>
          </cell>
          <cell r="B2097" t="str">
            <v>060.203.0165</v>
          </cell>
          <cell r="E2097" t="str">
            <v>Cintas. Umbilicales. De algodón tejido plano (trenzado de 21 hilos) estériles. Longitud: 41 cm. Ancho: 4 mm. Envase con 100 sobres.</v>
          </cell>
          <cell r="U2097">
            <v>50267</v>
          </cell>
          <cell r="V2097">
            <v>125665</v>
          </cell>
        </row>
        <row r="2098">
          <cell r="A2098">
            <v>2095</v>
          </cell>
          <cell r="B2098" t="str">
            <v>060.203.0207</v>
          </cell>
          <cell r="E2098" t="str">
            <v>Cintas. Para esterilización en vapor a presión. Tamaño: 18 mm x 50 M. Rollo.</v>
          </cell>
          <cell r="U2098">
            <v>663788</v>
          </cell>
          <cell r="V2098">
            <v>1659467</v>
          </cell>
        </row>
        <row r="2099">
          <cell r="A2099">
            <v>2096</v>
          </cell>
          <cell r="B2099" t="str">
            <v>060.203.0298</v>
          </cell>
          <cell r="E2099" t="str">
            <v>Cintas. Testigo para esterilización con gas de óxido de etileno. Tamaño: 18 mm x 50 m. Rollo.</v>
          </cell>
          <cell r="U2099">
            <v>6768</v>
          </cell>
          <cell r="V2099">
            <v>16919</v>
          </cell>
        </row>
        <row r="2100">
          <cell r="A2100">
            <v>2097</v>
          </cell>
          <cell r="B2100" t="str">
            <v>060.203.0306</v>
          </cell>
          <cell r="E2100" t="str">
            <v>Cintas. Microporosa de tela no tejida unidireccional de color blanco con recubrimientos adhesivos en una de sus caras. Longitud: Ancho: 10 mts. 1.25 cm Envase con 24 rollos.</v>
          </cell>
          <cell r="U2100">
            <v>57058</v>
          </cell>
          <cell r="V2100">
            <v>142641</v>
          </cell>
        </row>
        <row r="2101">
          <cell r="A2101">
            <v>2098</v>
          </cell>
          <cell r="B2101" t="str">
            <v>060.203.0363</v>
          </cell>
          <cell r="E2101" t="str">
            <v>Cintas. Microporosa de tela no tejida unidireccional de color blanco con recubrimientos adhesivos en una de sus caras. Longitud: Ancho: 10 mts. 5.00 cm Envase con 6 rollos.</v>
          </cell>
          <cell r="U2101">
            <v>194832</v>
          </cell>
          <cell r="V2101">
            <v>487079</v>
          </cell>
        </row>
        <row r="2102">
          <cell r="A2102">
            <v>2099</v>
          </cell>
          <cell r="B2102" t="str">
            <v>060.203.0397</v>
          </cell>
          <cell r="E2102" t="str">
            <v>Cintas. Microporosa de tela no tejida unidireccional de color blanco con recubrimientos adhesivos en una de sus caras. Longitud: Ancho: 10 mts. 2.50 cm Envase con 12 rollos.</v>
          </cell>
          <cell r="U2102">
            <v>206252</v>
          </cell>
          <cell r="V2102">
            <v>515628</v>
          </cell>
        </row>
        <row r="2103">
          <cell r="A2103">
            <v>2100</v>
          </cell>
          <cell r="B2103" t="str">
            <v>060.203.0405</v>
          </cell>
          <cell r="E2103" t="str">
            <v>Cintas. Microporosa de tela no tejida unidireccional de color blanco con recubrimientos adhesivos en una de sus caras. Longitud: Ancho: 10 mts. 7.50 cm Envase con 4 rollos.</v>
          </cell>
          <cell r="U2103">
            <v>122874</v>
          </cell>
          <cell r="V2103">
            <v>307184</v>
          </cell>
        </row>
        <row r="2104">
          <cell r="A2104">
            <v>2101</v>
          </cell>
          <cell r="B2104" t="str">
            <v>060.203.0439</v>
          </cell>
          <cell r="E2104" t="str">
            <v>Hilos.Retractor de encías. De algodón seco y suave impregnado con sal de aluminio. Calibre: mediano. Envase con rollo de 3 m.</v>
          </cell>
          <cell r="U2104">
            <v>3045</v>
          </cell>
          <cell r="V2104">
            <v>7609</v>
          </cell>
        </row>
        <row r="2105">
          <cell r="A2105">
            <v>2102</v>
          </cell>
          <cell r="B2105" t="str">
            <v>060.203.0454</v>
          </cell>
          <cell r="E2105" t="str">
            <v>CINTAS METRICA. RETRAIBLE, DE VINIL CON 1.50 M DE LONGITUD. PIEZA.</v>
          </cell>
          <cell r="U2105">
            <v>508</v>
          </cell>
          <cell r="V2105">
            <v>1268</v>
          </cell>
        </row>
        <row r="2106">
          <cell r="A2106">
            <v>2103</v>
          </cell>
          <cell r="B2106" t="str">
            <v>060.203.0462</v>
          </cell>
          <cell r="E2106" t="str">
            <v>Cintas. De velcro para fijación de electrodo de: 30 cm. Pieza.</v>
          </cell>
          <cell r="U2106">
            <v>1595</v>
          </cell>
          <cell r="V2106">
            <v>3985</v>
          </cell>
        </row>
        <row r="2107">
          <cell r="A2107">
            <v>2104</v>
          </cell>
          <cell r="B2107" t="str">
            <v>060.203.0470</v>
          </cell>
          <cell r="E2107" t="str">
            <v>Cintas. De velcro para fijación de electrodo de: 60 cm. Pieza.</v>
          </cell>
          <cell r="U2107">
            <v>918</v>
          </cell>
          <cell r="V2107">
            <v>2294</v>
          </cell>
        </row>
        <row r="2108">
          <cell r="A2108">
            <v>2105</v>
          </cell>
          <cell r="B2108" t="str">
            <v>060.203.0488</v>
          </cell>
          <cell r="E2108" t="str">
            <v>CINTAS DE VELCRO PARA FIJACION DE ELECTRODO DE: 120 CM. PIEZA.</v>
          </cell>
          <cell r="U2108">
            <v>1025</v>
          </cell>
          <cell r="V2108">
            <v>2561</v>
          </cell>
        </row>
        <row r="2109">
          <cell r="A2109">
            <v>2106</v>
          </cell>
          <cell r="B2109" t="str">
            <v>060.203.0496</v>
          </cell>
          <cell r="E2109" t="str">
            <v>CINTAS. DE FILAMENTOS DE FIBRAS POLIESTER TRENZADO LONGITUD: 30 CM ANCHO: 5 MM.ENVASE CON 12 SOBRES.</v>
          </cell>
          <cell r="U2109">
            <v>396</v>
          </cell>
          <cell r="V2109">
            <v>987</v>
          </cell>
        </row>
        <row r="2110">
          <cell r="A2110">
            <v>2107</v>
          </cell>
          <cell r="B2110" t="str">
            <v>060.203.0546</v>
          </cell>
          <cell r="E2110" t="str">
            <v>Cintas. Cinta transparente plástica microperforada de polietileno; con adhesivo hipoalergénica. Longitud de 9-9.5 mts. Ancho: 1.25 cm. Pieza</v>
          </cell>
          <cell r="U2110">
            <v>9769</v>
          </cell>
          <cell r="V2110">
            <v>24422</v>
          </cell>
        </row>
        <row r="2111">
          <cell r="A2111">
            <v>2108</v>
          </cell>
          <cell r="B2111" t="str">
            <v>060.203.0553</v>
          </cell>
          <cell r="E2111" t="str">
            <v>Cintas. Cinta transparente plástica microperforada de polietileno; con adhesivo hipoalergénica. Longitud de 9-9.5 mts. Ancho: 2.50 cm. Pieza</v>
          </cell>
          <cell r="U2111">
            <v>41372</v>
          </cell>
          <cell r="V2111">
            <v>103427</v>
          </cell>
        </row>
        <row r="2112">
          <cell r="A2112">
            <v>2109</v>
          </cell>
          <cell r="B2112" t="str">
            <v>060.203.0561</v>
          </cell>
          <cell r="E2112" t="str">
            <v>Cintas. Cinta transparente plástica microperforada de polietileno; con adhesivo hipoalergénica. Longitud de 9-9.5 mts. Ancho: 5.00 cm. Pieza</v>
          </cell>
          <cell r="U2112">
            <v>58369</v>
          </cell>
          <cell r="V2112">
            <v>145920</v>
          </cell>
        </row>
        <row r="2113">
          <cell r="A2113">
            <v>2110</v>
          </cell>
          <cell r="B2113" t="str">
            <v>060.203.0579</v>
          </cell>
          <cell r="E2113" t="str">
            <v>Cintas. Cinta transparente plástica microperforada de polietileno; con adhesivo hipoalergénica. Longitud de 9-9.5 mts. Ancho: 7.50 cm. Pieza</v>
          </cell>
          <cell r="U2113">
            <v>12616</v>
          </cell>
          <cell r="V2113">
            <v>31536</v>
          </cell>
        </row>
        <row r="2114">
          <cell r="A2114">
            <v>2111</v>
          </cell>
          <cell r="B2114" t="str">
            <v>060.207.0013</v>
          </cell>
          <cell r="E2114" t="str">
            <v>CIRCUITOS. DE VENTILACION PARA ANESTESIA DE POLIVINILO CONSTA DE DOS MANGUERASUN FILTRO CONEXION EN Y DE PLASTICO CODO MASCARILLA Y BOLSAS DE 3 Y 5 LTS.EQUIPO.</v>
          </cell>
          <cell r="U2114">
            <v>258502</v>
          </cell>
          <cell r="V2114">
            <v>646255</v>
          </cell>
        </row>
        <row r="2115">
          <cell r="A2115">
            <v>2112</v>
          </cell>
          <cell r="B2115" t="str">
            <v>060.215.0021</v>
          </cell>
          <cell r="E2115" t="str">
            <v>CLIPS HEMOSTATICOS, PLANOS, DE POLITETRAFLUORETILENO. TIPO MORETZ. CHICO. PIEZA.</v>
          </cell>
          <cell r="U2115">
            <v>3868</v>
          </cell>
          <cell r="V2115">
            <v>9670</v>
          </cell>
        </row>
        <row r="2116">
          <cell r="A2116">
            <v>2113</v>
          </cell>
          <cell r="B2116" t="str">
            <v>060.215.0112</v>
          </cell>
          <cell r="E2116" t="str">
            <v>CLIPS HEMOSTATICO, PLANO, DE POLITETRAFLUORETILENO, TIPO MORETZ, MEDIANO. PIEZA.</v>
          </cell>
          <cell r="U2116">
            <v>3383</v>
          </cell>
          <cell r="V2116">
            <v>8455</v>
          </cell>
        </row>
        <row r="2117">
          <cell r="A2117">
            <v>2114</v>
          </cell>
          <cell r="B2117" t="str">
            <v>060.215.0120</v>
          </cell>
          <cell r="E2117" t="str">
            <v>CLIPS. HEMOSTATICOS PLANOS DE POLITETRAFLUORETILENO. TIPO: MORETZ. GRANDE.PIEZA.</v>
          </cell>
          <cell r="U2117">
            <v>1398</v>
          </cell>
          <cell r="V2117">
            <v>3494</v>
          </cell>
        </row>
        <row r="2118">
          <cell r="A2118">
            <v>2115</v>
          </cell>
          <cell r="B2118" t="str">
            <v>060.216.0020</v>
          </cell>
          <cell r="E2118" t="str">
            <v>COJINETES. DE FIELTRO. DIÁMETRO:3 MM. LONGITUD: 10 MM. ENVASE CON 10 PIEZAS.</v>
          </cell>
          <cell r="U2118">
            <v>26</v>
          </cell>
          <cell r="V2118">
            <v>63</v>
          </cell>
        </row>
        <row r="2119">
          <cell r="A2119">
            <v>2116</v>
          </cell>
          <cell r="B2119" t="str">
            <v>060.218.0085</v>
          </cell>
          <cell r="E2119" t="str">
            <v>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0.94 a 1.90 lts. Pieza</v>
          </cell>
          <cell r="U2119">
            <v>175639</v>
          </cell>
          <cell r="V2119">
            <v>439096</v>
          </cell>
        </row>
        <row r="2120">
          <cell r="A2120">
            <v>2117</v>
          </cell>
          <cell r="B2120" t="str">
            <v>060.218.0093</v>
          </cell>
          <cell r="E2120" t="str">
            <v>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3.70 a 4.75 lts. Pieza</v>
          </cell>
          <cell r="U2120">
            <v>101801</v>
          </cell>
          <cell r="V2120">
            <v>254500</v>
          </cell>
        </row>
        <row r="2121">
          <cell r="A2121">
            <v>2118</v>
          </cell>
          <cell r="B2121" t="str">
            <v>060.218.0101</v>
          </cell>
          <cell r="E2121" t="str">
            <v>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5.50 a 7.00 lts. Pieza</v>
          </cell>
          <cell r="U2121">
            <v>94</v>
          </cell>
          <cell r="V2121">
            <v>232</v>
          </cell>
        </row>
        <row r="2122">
          <cell r="A2122">
            <v>2119</v>
          </cell>
          <cell r="B2122" t="str">
            <v>060.218.0119</v>
          </cell>
          <cell r="E2122" t="str">
            <v>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7.50 A 9.40 LTS. PIEZA.</v>
          </cell>
          <cell r="U2122">
            <v>42805</v>
          </cell>
          <cell r="V2122">
            <v>107012</v>
          </cell>
        </row>
        <row r="2123">
          <cell r="A2123">
            <v>2120</v>
          </cell>
          <cell r="B2123" t="str">
            <v>060.218.0127</v>
          </cell>
          <cell r="E2123" t="str">
            <v>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11.30 A 13.25 LTS.PIEZA.</v>
          </cell>
          <cell r="U2123">
            <v>39000</v>
          </cell>
          <cell r="V2123">
            <v>97498</v>
          </cell>
        </row>
        <row r="2124">
          <cell r="A2124">
            <v>2121</v>
          </cell>
          <cell r="B2124" t="str">
            <v>060.218.0135</v>
          </cell>
          <cell r="E2124" t="str">
            <v>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15.00 A 22.70 LTS. PIEZA</v>
          </cell>
          <cell r="U2124">
            <v>611</v>
          </cell>
          <cell r="V2124">
            <v>1525</v>
          </cell>
        </row>
        <row r="2125">
          <cell r="A2125">
            <v>2122</v>
          </cell>
          <cell r="B2125" t="str">
            <v>060.219.0068</v>
          </cell>
          <cell r="E2125" t="str">
            <v>COLORANTES. REVELADORES DE PLACAS DENTOBACTERIANAS. TABLETAS SIN SABOR. ENVASE CON 100 PIEZAS.</v>
          </cell>
          <cell r="U2125">
            <v>370405</v>
          </cell>
          <cell r="V2125">
            <v>926011</v>
          </cell>
        </row>
        <row r="2126">
          <cell r="A2126">
            <v>2123</v>
          </cell>
          <cell r="B2126" t="str">
            <v>060.231.0104</v>
          </cell>
          <cell r="E2126" t="str">
            <v>Compresas. Para vientre. De algodón con trama radiopaca. Longitud: 70 cm. Ancho: 45 cm. Envase con 6 piezas.</v>
          </cell>
          <cell r="U2126">
            <v>4562846</v>
          </cell>
          <cell r="V2126">
            <v>11407113</v>
          </cell>
        </row>
        <row r="2127">
          <cell r="A2127">
            <v>2124</v>
          </cell>
          <cell r="B2127" t="str">
            <v>060.231.0575</v>
          </cell>
          <cell r="E2127" t="str">
            <v>Ropa quirúrgica. Paquete básico.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cubierta para mesa de riñón de 240 ±10 cm x 150 ±10 cm.- Una funda de mesa mayo con refuerzo de 50 ±10 cm x 140 ±10 cm. Cuatro toallas absorbentes de 40 ±5 cm x 40 ±5 cm. Bulto o paquete.</v>
          </cell>
          <cell r="U2127">
            <v>240655</v>
          </cell>
          <cell r="V2127">
            <v>601634</v>
          </cell>
        </row>
        <row r="2128">
          <cell r="A2128">
            <v>2125</v>
          </cell>
          <cell r="B2128" t="str">
            <v>060.231.0583</v>
          </cell>
          <cell r="E2128" t="str">
            <v>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v>
          </cell>
          <cell r="U2128">
            <v>556391</v>
          </cell>
          <cell r="V2128">
            <v>1390975</v>
          </cell>
        </row>
        <row r="2129">
          <cell r="A2129">
            <v>2126</v>
          </cell>
          <cell r="B2129" t="str">
            <v>060.231.0591</v>
          </cell>
          <cell r="E2129" t="str">
            <v>Ropa quirúrgica. Paquete para cirugía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sábana lateral de 130 ±10 cm x 180 ±10 cm. Una sábana hendida de 180 ±10 cm x 240 ±10 cm. Una cubierta para mesa de riñón de 240 ±10 cm x 150 ±10 cm. Una funda de mesa mayo con refuerzo de 50 ±10 cm x 140 ±10 cm. Cuatro toallas absorbentes de 40 ±5 cm x 40 ±5 cm. Bulto o paquete.</v>
          </cell>
          <cell r="U2129">
            <v>676424</v>
          </cell>
          <cell r="V2129">
            <v>1691060</v>
          </cell>
        </row>
        <row r="2130">
          <cell r="A2130">
            <v>2127</v>
          </cell>
          <cell r="B2130" t="str">
            <v>060.231.0609</v>
          </cell>
          <cell r="E2130" t="str">
            <v>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v>
          </cell>
          <cell r="U2130">
            <v>412420</v>
          </cell>
          <cell r="V2130">
            <v>1031049</v>
          </cell>
        </row>
        <row r="2131">
          <cell r="A2131">
            <v>2128</v>
          </cell>
          <cell r="B2131" t="str">
            <v>060.231.0617</v>
          </cell>
          <cell r="E2131" t="str">
            <v>Ropa quirúrgica. Campo sencillo. De tela no tejida de polipropileno impermeable a la penetración de líquidos y fluidos color antirreflejante no transparente antiestática y resistente a la tensión en uso normal. Estéril y desechable. Medidas: 90 ±10 cm x 90 ±10 cm. Pieza.</v>
          </cell>
          <cell r="U2131">
            <v>431811</v>
          </cell>
          <cell r="V2131">
            <v>1079525</v>
          </cell>
        </row>
        <row r="2132">
          <cell r="A2132">
            <v>2129</v>
          </cell>
          <cell r="B2132" t="str">
            <v>060.231.0625</v>
          </cell>
          <cell r="E2132" t="str">
            <v>Ropa quirúrgica. Campo hendido para oftalmología y procedimientos menores. De tela no tejida de polipropileno impermeable a la penetración de líquidos y fluidos color antirreflejante no transparente antiestática y resistente a la tensión en uso normal. Estéril y desechable. Medidas: 45 ±5 cm x 45 ±5 cm. Pieza.</v>
          </cell>
          <cell r="U2132">
            <v>54500</v>
          </cell>
          <cell r="V2132">
            <v>136247</v>
          </cell>
        </row>
        <row r="2133">
          <cell r="A2133">
            <v>2130</v>
          </cell>
          <cell r="B2133" t="str">
            <v>060.231.0633</v>
          </cell>
          <cell r="E2133" t="str">
            <v>Ropa quirúrgica. Campo hendido para otorrinolaringología anestesiología y otros. De tela no tejida de polipropileno impermeable a la penetración de líquidos y fluidos color antirreflejante no transparente antiestática y resistente a la tensión en uso normal. Estéril y desechable. Medidas: 70 ±5 cm x 70±5 cm. Pieza.</v>
          </cell>
          <cell r="U2133">
            <v>66721</v>
          </cell>
          <cell r="V2133">
            <v>166801</v>
          </cell>
        </row>
        <row r="2134">
          <cell r="A2134">
            <v>2131</v>
          </cell>
          <cell r="B2134" t="str">
            <v>060.231.0641</v>
          </cell>
          <cell r="E2134" t="str">
            <v>Bata quirúrgica con puños ajustables y refuerzo en mangas y pecho. Tela no tejida de polipropileno impermeable a la penetración de líquidos y fluidos ; antiestática y resistente a la tensión. Estéril y desechable. Tamaño: Grande Pieza.</v>
          </cell>
          <cell r="U2134">
            <v>2858008</v>
          </cell>
          <cell r="V2134">
            <v>7145016</v>
          </cell>
        </row>
        <row r="2135">
          <cell r="A2135">
            <v>2132</v>
          </cell>
          <cell r="B2135" t="str">
            <v>060.231.0658</v>
          </cell>
          <cell r="E2135" t="str">
            <v>Bata quirúrgica con puños ajustables y refuerzo en mangas y pecho. Tela no tejida de polipropileno impermeable a la penetración de líquidos y fluidos ; antiestática y resistente a la tensión. Estéril y desechable. Tamaño: Extragrande Pieza.</v>
          </cell>
          <cell r="U2135">
            <v>2549991</v>
          </cell>
          <cell r="V2135">
            <v>6374975</v>
          </cell>
        </row>
        <row r="2136">
          <cell r="A2136">
            <v>2133</v>
          </cell>
          <cell r="B2136" t="str">
            <v>060.231.0666</v>
          </cell>
          <cell r="E2136" t="str">
            <v>Bata quirúrgica con puños ajustables y refuerzo en mangas y pecho. Tela no tejida de polipropileno impermeable a la penetración de líquidos y fluidos ; antiestática y resistente a la tensión. Estéril y desechable. Tamaño: Mediano Pieza.</v>
          </cell>
          <cell r="U2136">
            <v>1857205</v>
          </cell>
          <cell r="V2136">
            <v>4643009</v>
          </cell>
        </row>
        <row r="2137">
          <cell r="A2137">
            <v>2134</v>
          </cell>
          <cell r="B2137" t="str">
            <v>060.231.0674</v>
          </cell>
          <cell r="E2137" t="str">
            <v>Bata quirúrgica con puños ajustables y refuerzo en mangas y pecho. Tela no tejida de polipropileno impermeable a la penetración de líquidos y fluidos; antiestática y resistente a la tensión. Estéril y desechable. Tamaño: chico pieza.</v>
          </cell>
          <cell r="U2137">
            <v>493575</v>
          </cell>
          <cell r="V2137">
            <v>1233934</v>
          </cell>
        </row>
        <row r="2138">
          <cell r="A2138">
            <v>2135</v>
          </cell>
          <cell r="B2138" t="str">
            <v>060.233.0011</v>
          </cell>
          <cell r="E2138" t="str">
            <v>Conectores. De una vía. De plástico desechables. Tipo: Sims. Delgado. Pieza.</v>
          </cell>
          <cell r="U2138">
            <v>813538</v>
          </cell>
          <cell r="V2138">
            <v>2033842</v>
          </cell>
        </row>
        <row r="2139">
          <cell r="A2139">
            <v>2136</v>
          </cell>
          <cell r="B2139" t="str">
            <v>060.233.0037</v>
          </cell>
          <cell r="E2139" t="str">
            <v>Conectores. De dos vías en (Y) De plástico desechable. Pieza.</v>
          </cell>
          <cell r="U2139">
            <v>198147</v>
          </cell>
          <cell r="V2139">
            <v>495367</v>
          </cell>
        </row>
        <row r="2140">
          <cell r="A2140">
            <v>2137</v>
          </cell>
          <cell r="B2140" t="str">
            <v>060.233.0052</v>
          </cell>
          <cell r="E2140" t="str">
            <v>Conectores. De una vía. De plástico desechables. Tipo: Sims. Grueso. Pieza.</v>
          </cell>
          <cell r="U2140">
            <v>1168193</v>
          </cell>
          <cell r="V2140">
            <v>2920480</v>
          </cell>
        </row>
        <row r="2141">
          <cell r="A2141">
            <v>2138</v>
          </cell>
          <cell r="B2141" t="str">
            <v>060.233.0235</v>
          </cell>
          <cell r="E2141" t="str">
            <v>Conectores. De titanio luer lock. Para ajustar la punta del catéter a la línea de transferencia. Tipo: Tenckhoff. Pieza.</v>
          </cell>
          <cell r="U2141">
            <v>5576</v>
          </cell>
          <cell r="V2141">
            <v>13939</v>
          </cell>
        </row>
        <row r="2142">
          <cell r="A2142">
            <v>2139</v>
          </cell>
          <cell r="B2142" t="str">
            <v>060.233.0243</v>
          </cell>
          <cell r="E2142" t="str">
            <v>Cánulas. Sistema de conexión y extensión de cierre de la punta del catéter a la línea de transferencia. Estéril y desechable. Tipo: Tenckhoff. Incluye: 2 Clips. 1 Conector. 1 Cubierta. Pieza.</v>
          </cell>
          <cell r="U2142">
            <v>440</v>
          </cell>
          <cell r="V2142">
            <v>1100</v>
          </cell>
        </row>
        <row r="2143">
          <cell r="A2143">
            <v>2140</v>
          </cell>
          <cell r="B2143" t="str">
            <v>060.233.0318</v>
          </cell>
          <cell r="E2143" t="str">
            <v>EQUIPOS. DOMO DE PLASTICO PARA TRANSDUCTOR PARA MEDICION DE PRESION ARTERIAL YPULMONAR MEDIDA ESTANDAR. PIEZA.</v>
          </cell>
          <cell r="U2143">
            <v>3304</v>
          </cell>
          <cell r="V2143">
            <v>8258</v>
          </cell>
        </row>
        <row r="2144">
          <cell r="A2144">
            <v>2141</v>
          </cell>
          <cell r="B2144" t="str">
            <v>060.233.0383</v>
          </cell>
          <cell r="E2144" t="str">
            <v>Conectores. En "Y"para catéteres de angioplastia. Pieza.</v>
          </cell>
          <cell r="U2144">
            <v>4770</v>
          </cell>
          <cell r="V2144">
            <v>11922</v>
          </cell>
        </row>
        <row r="2145">
          <cell r="A2145">
            <v>2142</v>
          </cell>
          <cell r="B2145" t="str">
            <v>060.234.0051</v>
          </cell>
          <cell r="E2145" t="str">
            <v>CONTENEDORES. DESECHABLE PARA LIQUIDOS, DE POLIPROPILENO DE COLOR AMARILLO,RIGIDO, ESTERILIZABLE, INCINERABLE Y NO TOXICO; RESISTENTE A LA PERFORACION, ALIMPACTO Y A LA PERDIDA DEL CONTENIDO AL CAERSE, CON TAPA DE SEGURIDAD PARA LAABERTURA, ETIQUETADO CON LA LEYENDA: "RESIDUOS PELIGROSOS LIQUIDOSBIOLOGICO-INFECCIOSOS" Y MARCADO CON EL SIMBOLO UNIVERSAL DE RIESGO BIOLOGICO.DEBE CONTAR CON CERTIFICADO ANALITICO CUYAS ESPECIFICACIONES TECNICAS DEBENCUMPLIR CON LA NOM-087-SEMARNAT-SSA1 VIGENTE. CAPACIDAD: 7.50 A 9.40 L. PIEZA.</v>
          </cell>
          <cell r="U2145">
            <v>11702</v>
          </cell>
          <cell r="V2145">
            <v>29252</v>
          </cell>
        </row>
        <row r="2146">
          <cell r="A2146">
            <v>2143</v>
          </cell>
          <cell r="B2146" t="str">
            <v>060.234.0069</v>
          </cell>
          <cell r="E2146" t="str">
            <v>Contenedores. Desechable para líquidos, de polipropileno de color amarillo, rígido, esterilizable, incinerable y no tóxico; resistente a la perforación, al impacto y a la pérdida del contenido al caerse, con tapa de seguridad para la abertura, etiquetado con la leyenda: "Residuos Peligrosos Líquidos Biológico-Infecciosos" y marcado con el símbolo universal de Riesgo Biológico. Debe contar con certificado analítico cuyas especificaciones técnicas deben cumplir con la NOM-087-SEMARNAT-SSA1 vigente. Capacidad: 1.5 a 2.0 L. Pieza.</v>
          </cell>
          <cell r="U2146">
            <v>9048</v>
          </cell>
          <cell r="V2146">
            <v>22619</v>
          </cell>
        </row>
        <row r="2147">
          <cell r="A2147">
            <v>2144</v>
          </cell>
          <cell r="B2147" t="str">
            <v>060.234.0085</v>
          </cell>
          <cell r="E2147" t="str">
            <v>CONTENEDOR DESECHABLE PARA LÍQUIDOS, DE POLIPROPILENO DE COLOR ROJO, RÍGIDO, ESTERILIZABLE, INCINERABLE Y NO TÓXICO; RESISTENTE A LA PERFORACIÓN, AL IMPACTO Y A LA PÉRDIDA DEL CONTENIDO AL CAERSE, CON TAPA DE SEGURIDAD HERMÉTICA, ETIQUETADO CON LA LEYENDA: "RESIDUOS PELIGROSOS LÍQUIDOS BIOLÓGICO-INFECCIOSOS" Y MARCADO CON EL SÍMBOLO UNIVERSAL DE RIESGO BIOLÓGICO. DEBE CONTAR CON CERTIFICADO ANALÍTICO QUE GARANTICE EL CUMPLIMIENTO DE LA NOM-087-SEMARNAT-VIGENTE. CAPACIDAD: 1.5 A 2.0 L.</v>
          </cell>
          <cell r="U2147">
            <v>648</v>
          </cell>
          <cell r="V2147">
            <v>1616</v>
          </cell>
        </row>
        <row r="2148">
          <cell r="A2148">
            <v>2145</v>
          </cell>
          <cell r="B2148" t="str">
            <v>060.235.0019</v>
          </cell>
          <cell r="E2148" t="str">
            <v>COPAS. PARA PIEZA DE MANO. DE HULE SUAVE BLANCO EN FORMA DE CONO. ENVASE CON 12 PIEZAS.</v>
          </cell>
          <cell r="U2148">
            <v>17702</v>
          </cell>
          <cell r="V2148">
            <v>44252</v>
          </cell>
        </row>
        <row r="2149">
          <cell r="A2149">
            <v>2146</v>
          </cell>
          <cell r="B2149" t="str">
            <v>060.243.0019</v>
          </cell>
          <cell r="E2149" t="str">
            <v>Coronas. De acero inoxidable preconformadas para reconstrucción de dientes anteriores y posteriores temporales y los primeros molares permanentes. Primer molar temporal.Superior derecho.Medidas: No. 4. Envase con 5 piezas.</v>
          </cell>
          <cell r="U2149">
            <v>10</v>
          </cell>
          <cell r="V2149">
            <v>24</v>
          </cell>
        </row>
        <row r="2150">
          <cell r="A2150">
            <v>2147</v>
          </cell>
          <cell r="B2150" t="str">
            <v>060.243.0027</v>
          </cell>
          <cell r="E2150" t="str">
            <v>Coronas. De acero inoxidable preconformadas para reconstrucción de dientes anteriores y posteriores temporales y los primeros molares permanentes. Primer molar temporal. Superior derecho. Medidas: No. 5. Envase con 5 piezas.</v>
          </cell>
          <cell r="U2150">
            <v>6</v>
          </cell>
          <cell r="V2150">
            <v>12</v>
          </cell>
        </row>
        <row r="2151">
          <cell r="A2151">
            <v>2148</v>
          </cell>
          <cell r="B2151" t="str">
            <v>060.243.0035</v>
          </cell>
          <cell r="E2151" t="str">
            <v>Coronas. De acero inoxidable preconformadas para reconstrucción de dientes anteriores y posteriores temporales y los primeros molares permanentes. Primer molar temporal.Superior derecho.Medidas: No. 6. Envase con 5 piezas.</v>
          </cell>
          <cell r="U2151">
            <v>6</v>
          </cell>
          <cell r="V2151">
            <v>12</v>
          </cell>
        </row>
        <row r="2152">
          <cell r="A2152">
            <v>2149</v>
          </cell>
          <cell r="B2152" t="str">
            <v>060.243.0043</v>
          </cell>
          <cell r="E2152" t="str">
            <v>Coronas. De acero inoxidable preconformadas para reconstrucción de dientes anteriores y posteriores temporales y los primeros molares permanentes. Segundo molar temporal. Superior derecho. Medidas: No. 4. Envase con 5 piezas.</v>
          </cell>
          <cell r="U2152">
            <v>8</v>
          </cell>
          <cell r="V2152">
            <v>18</v>
          </cell>
        </row>
        <row r="2153">
          <cell r="A2153">
            <v>2150</v>
          </cell>
          <cell r="B2153" t="str">
            <v>060.243.0050</v>
          </cell>
          <cell r="E2153" t="str">
            <v>Coronas. De acero inoxidable preconformadas para reconstrucción de dientes anteriores y posteriores temporales y los primeros molares permanentes. Segundo molar temporal. Superior derecho. Medidas: No. 5. Envase con 5 piezas.</v>
          </cell>
          <cell r="U2153">
            <v>8</v>
          </cell>
          <cell r="V2153">
            <v>18</v>
          </cell>
        </row>
        <row r="2154">
          <cell r="A2154">
            <v>2151</v>
          </cell>
          <cell r="B2154" t="str">
            <v>060.243.0068</v>
          </cell>
          <cell r="E2154" t="str">
            <v>Coronas. De acero inoxidable preconformadas para reconstrucción de dientes anteriores y posteriores temporales y los primeros molares permanentes. Segundo molar temporal. Superior derecho. Medidas: No. 6. Envase con 5 piezas.</v>
          </cell>
          <cell r="U2154">
            <v>10</v>
          </cell>
          <cell r="V2154">
            <v>22</v>
          </cell>
        </row>
        <row r="2155">
          <cell r="A2155">
            <v>2152</v>
          </cell>
          <cell r="B2155" t="str">
            <v>060.243.0076</v>
          </cell>
          <cell r="E2155" t="str">
            <v>Coronas. De acero inoxidable preconformadas para reconstrucción de dientes anteriores y posteriores temporales y los primeros molares permanentes. Primer molar temporal.Superior izquierdo..Medidas: No. 4. Envase con 5 piezas.</v>
          </cell>
          <cell r="U2155">
            <v>8</v>
          </cell>
          <cell r="V2155">
            <v>20</v>
          </cell>
        </row>
        <row r="2156">
          <cell r="A2156">
            <v>2153</v>
          </cell>
          <cell r="B2156" t="str">
            <v>060.243.0084</v>
          </cell>
          <cell r="E2156" t="str">
            <v>Coronas. De acero inoxidable preconformadas para reconstrucción de dientes anteriores y posteriores temporales y los primeros molares permanentes. Primer molar temporal.Superior izquierdo..Medidas: No. 5. Envase con 5 piezas.</v>
          </cell>
          <cell r="U2156">
            <v>6</v>
          </cell>
          <cell r="V2156">
            <v>12</v>
          </cell>
        </row>
        <row r="2157">
          <cell r="A2157">
            <v>2154</v>
          </cell>
          <cell r="B2157" t="str">
            <v>060.243.0092</v>
          </cell>
          <cell r="E2157" t="str">
            <v>Coronas. De acero inoxidable preconformadas para reconstrucción de dientes anteriores y posteriores temporales y los primeros molares permanentes. Primer molar temporal.Superior izquierdo..Medidas: No. 6. Envase con 5 piezas.</v>
          </cell>
          <cell r="U2157">
            <v>6</v>
          </cell>
          <cell r="V2157">
            <v>12</v>
          </cell>
        </row>
        <row r="2158">
          <cell r="A2158">
            <v>2155</v>
          </cell>
          <cell r="B2158" t="str">
            <v>060.243.0100</v>
          </cell>
          <cell r="E2158" t="str">
            <v>Coronas. De acero inoxidable preconformadas para reconstrucción de dientes anteriores y posteriores temporales y los primeros molares permanentes. Segundo molar temporal. Superior izquierdo..Medidas: No. 4. Envase con 5 piezas.</v>
          </cell>
          <cell r="U2158">
            <v>6</v>
          </cell>
          <cell r="V2158">
            <v>12</v>
          </cell>
        </row>
        <row r="2159">
          <cell r="A2159">
            <v>2156</v>
          </cell>
          <cell r="B2159" t="str">
            <v>060.243.0118</v>
          </cell>
          <cell r="E2159" t="str">
            <v>Coronas. De acero inoxidable preconformadas para reconstrucción de dientes anteriores y posteriores temporales y los primeros molares permanentes. Segundo molar temporal. Superior izquierdo..Medidas: No. 5. Envase con 5 piezas.</v>
          </cell>
          <cell r="U2159">
            <v>6</v>
          </cell>
          <cell r="V2159">
            <v>12</v>
          </cell>
        </row>
        <row r="2160">
          <cell r="A2160">
            <v>2157</v>
          </cell>
          <cell r="B2160" t="str">
            <v>060.243.0126</v>
          </cell>
          <cell r="E2160" t="str">
            <v>Coronas. De acero inoxidable preconformadas para reconstrucción de dientes anteriores y posteriores temporales y los primeros molares permanentes. Segundo molar temporal. Superior izquierdo..Medidas: No. 6. Envase con 5 piezas.</v>
          </cell>
          <cell r="U2160">
            <v>6</v>
          </cell>
          <cell r="V2160">
            <v>12</v>
          </cell>
        </row>
        <row r="2161">
          <cell r="A2161">
            <v>2158</v>
          </cell>
          <cell r="B2161" t="str">
            <v>060.243.0134</v>
          </cell>
          <cell r="E2161" t="str">
            <v>Coronas. De acero inoxidable preconformadas para reconstrucción de dientes anteriores y posteriores temporales y los primeros molares permanentes. Primer molar temporal. Inferior derecho..Medidas: No. 4. Envase con 5 piezas.</v>
          </cell>
          <cell r="U2161">
            <v>6</v>
          </cell>
          <cell r="V2161">
            <v>12</v>
          </cell>
        </row>
        <row r="2162">
          <cell r="A2162">
            <v>2159</v>
          </cell>
          <cell r="B2162" t="str">
            <v>060.243.0142</v>
          </cell>
          <cell r="E2162" t="str">
            <v>Coronas. De acero inoxidable preconformadas para reconstrucción de dientes anteriores y posteriores temporales y los primeros molares permanentes. Primer molar temporal. Inferior derecho..Medidas: No. 5. Envase con 5 piezas.</v>
          </cell>
          <cell r="U2162">
            <v>6</v>
          </cell>
          <cell r="V2162">
            <v>12</v>
          </cell>
        </row>
        <row r="2163">
          <cell r="A2163">
            <v>2160</v>
          </cell>
          <cell r="B2163" t="str">
            <v>060.243.0159</v>
          </cell>
          <cell r="E2163" t="str">
            <v>Coronas. De acero inoxidable preconformadas para reconstrucción de dientes anteriores y posteriores temporales y los primeros molares permanentes. Primer molar temporal. Inferior derecho.Medidas: No. 6. Envase con 5 piezas.</v>
          </cell>
          <cell r="U2163">
            <v>6</v>
          </cell>
          <cell r="V2163">
            <v>12</v>
          </cell>
        </row>
        <row r="2164">
          <cell r="A2164">
            <v>2161</v>
          </cell>
          <cell r="B2164" t="str">
            <v>060.243.0167</v>
          </cell>
          <cell r="E2164" t="str">
            <v>Coronas. De acero inoxidable preconformadas para reconstrucción de dientes anteriores y posteriores temporales y los primeros molares permanentes. Segundo molar temporal.Inferior derecho. Medidas: No. 4. Envase con 5 piezas.</v>
          </cell>
          <cell r="U2164">
            <v>6</v>
          </cell>
          <cell r="V2164">
            <v>12</v>
          </cell>
        </row>
        <row r="2165">
          <cell r="A2165">
            <v>2162</v>
          </cell>
          <cell r="B2165" t="str">
            <v>060.243.0175</v>
          </cell>
          <cell r="E2165" t="str">
            <v>Coronas. De acero inoxidable preconformadas para reconstrucción de dientes anteriores y posteriores temporales y los primeros molares permanentes. Segundo molar temporal.Inferior derecho. Medidas: No. 5. Envase con 5 piezas.</v>
          </cell>
          <cell r="U2165">
            <v>6</v>
          </cell>
          <cell r="V2165">
            <v>12</v>
          </cell>
        </row>
        <row r="2166">
          <cell r="A2166">
            <v>2163</v>
          </cell>
          <cell r="B2166" t="str">
            <v>060.243.0183</v>
          </cell>
          <cell r="E2166" t="str">
            <v>Coronas. De acero inoxidable preconformadas para reconstrucción de dientes anteriores y posteriores temporales y los primeros molares permanentes. Segundo molar temporal.Inferior derecho. Medidas: No. 6. Envase con 5 piezas.</v>
          </cell>
          <cell r="U2166">
            <v>6</v>
          </cell>
          <cell r="V2166">
            <v>12</v>
          </cell>
        </row>
        <row r="2167">
          <cell r="A2167">
            <v>2164</v>
          </cell>
          <cell r="B2167" t="str">
            <v>060.243.0191</v>
          </cell>
          <cell r="E2167" t="str">
            <v>Coronas. De acero inoxidable preconformadas para reconstrucción de dientes anteriores y posteriores temporales y los primeros molares permanentes. Primer molar temporal. Inferior izquierdo.. Medidas: No. 4. Envase con 5 piezas.</v>
          </cell>
          <cell r="U2167">
            <v>6</v>
          </cell>
          <cell r="V2167">
            <v>12</v>
          </cell>
        </row>
        <row r="2168">
          <cell r="A2168">
            <v>2165</v>
          </cell>
          <cell r="B2168" t="str">
            <v>060.243.0209</v>
          </cell>
          <cell r="E2168" t="str">
            <v>Coronas. De acero inoxidable preconformadas para reconstrucción de dientes anteriores y posteriores temporales y los primeros molares permanentes. Primer molar temporal. Inferior izquierdo.. Medidas: No. 5. Envase con 5 piezas.</v>
          </cell>
          <cell r="U2168">
            <v>6</v>
          </cell>
          <cell r="V2168">
            <v>12</v>
          </cell>
        </row>
        <row r="2169">
          <cell r="A2169">
            <v>2166</v>
          </cell>
          <cell r="B2169" t="str">
            <v>060.243.0217</v>
          </cell>
          <cell r="E2169" t="str">
            <v>Coronas. De acero inoxidable preconformadas para reconstrucción de dientes anteriores y posteriores temporales y los primeros molares permanentes. Primer molar temporal. Inferior izquierdo.. Medidas: No. 6. Envase con 5 piezas.</v>
          </cell>
          <cell r="U2169">
            <v>6</v>
          </cell>
          <cell r="V2169">
            <v>12</v>
          </cell>
        </row>
        <row r="2170">
          <cell r="A2170">
            <v>2167</v>
          </cell>
          <cell r="B2170" t="str">
            <v>060.243.0225</v>
          </cell>
          <cell r="E2170" t="str">
            <v>Coronas. De acero inoxidable preconformadas para reconstrucción de dientes anteriores y posteriores temporales y los primeros molares permanentes. Segundo molar temporal. Inferior izquierdo. Medidas: No. 4. Envase con 5 piezas.</v>
          </cell>
          <cell r="U2170">
            <v>6</v>
          </cell>
          <cell r="V2170">
            <v>12</v>
          </cell>
        </row>
        <row r="2171">
          <cell r="A2171">
            <v>2168</v>
          </cell>
          <cell r="B2171" t="str">
            <v>060.243.0233</v>
          </cell>
          <cell r="E2171" t="str">
            <v>Coronas. De acero inoxidable preconformadas para reconstrucción de dientes anteriores y posteriores temporales y los primeros molares permanentes. Segundo molar temporal. Inferior izquierdo. Medidas: No. 5. Envase con 5 piezas.</v>
          </cell>
          <cell r="U2171">
            <v>6</v>
          </cell>
          <cell r="V2171">
            <v>12</v>
          </cell>
        </row>
        <row r="2172">
          <cell r="A2172">
            <v>2169</v>
          </cell>
          <cell r="B2172" t="str">
            <v>060.243.0241</v>
          </cell>
          <cell r="E2172" t="str">
            <v>Coronas. De acero inoxidable preconformadas para reconstrucción de dientes anteriores y posteriores temporales y los primeros molares permanentes. Segundo molar temporal. Inferior izquierdo. Medidas: No. 6. Envase con 5 piezas.</v>
          </cell>
          <cell r="U2172">
            <v>6</v>
          </cell>
          <cell r="V2172">
            <v>12</v>
          </cell>
        </row>
        <row r="2173">
          <cell r="A2173">
            <v>2170</v>
          </cell>
          <cell r="B2173" t="str">
            <v>060.243.0258</v>
          </cell>
          <cell r="E2173" t="str">
            <v>Coronas. De acero inoxidable preconformadas para reconstrucción de dientes anteriores y posteriores temporales y los primeros molares permanentes.Primer molar permanente. Superior derecho. Medidas: No. 4. Envase con 5 piezas.</v>
          </cell>
          <cell r="U2173">
            <v>6</v>
          </cell>
          <cell r="V2173">
            <v>12</v>
          </cell>
        </row>
        <row r="2174">
          <cell r="A2174">
            <v>2171</v>
          </cell>
          <cell r="B2174" t="str">
            <v>060.243.0266</v>
          </cell>
          <cell r="E2174" t="str">
            <v>Coronas. De acero inoxidable preconformadas para reconstrucción de dientes anteriores y posteriores temporales y los primeros molares permanentes.Primer molar permanente. Superior derecho. Medidas: No. 5. Envase con 5 piezas.</v>
          </cell>
          <cell r="U2174">
            <v>6</v>
          </cell>
          <cell r="V2174">
            <v>12</v>
          </cell>
        </row>
        <row r="2175">
          <cell r="A2175">
            <v>2172</v>
          </cell>
          <cell r="B2175" t="str">
            <v>060.243.0274</v>
          </cell>
          <cell r="E2175" t="str">
            <v>Coronas. De acero inoxidable preconformadas para reconstrucción de dientes anteriores y posteriores temporales y los primeros molares permanentes.Primer molar permanente. Superior derecho. Medidas: No. 6. Envase con 5 piezas.</v>
          </cell>
          <cell r="U2175">
            <v>6</v>
          </cell>
          <cell r="V2175">
            <v>12</v>
          </cell>
        </row>
        <row r="2176">
          <cell r="A2176">
            <v>2173</v>
          </cell>
          <cell r="B2176" t="str">
            <v>060.243.0282</v>
          </cell>
          <cell r="E2176" t="str">
            <v>Coronas. De acero inoxidable preconformadas para reconstrucción de dientes anteriores y posteriores temporales y los primeros molares permanentes.Primer molar permanente. Superior izquierdo. Medidas: No. 4. Envase con 5 piezas.</v>
          </cell>
          <cell r="U2176">
            <v>6</v>
          </cell>
          <cell r="V2176">
            <v>12</v>
          </cell>
        </row>
        <row r="2177">
          <cell r="A2177">
            <v>2174</v>
          </cell>
          <cell r="B2177" t="str">
            <v>060.243.0290</v>
          </cell>
          <cell r="E2177" t="str">
            <v>Coronas. De acero inoxidable preconformadas para reconstrucción de dientes anteriores y posteriores temporales y los primeros molares permanentes.Primer molar permanente. Superior izquierdo. Medidas: No. 5. Envase con 5 piezas.</v>
          </cell>
          <cell r="U2177">
            <v>6</v>
          </cell>
          <cell r="V2177">
            <v>12</v>
          </cell>
        </row>
        <row r="2178">
          <cell r="A2178">
            <v>2175</v>
          </cell>
          <cell r="B2178" t="str">
            <v>060.243.0308</v>
          </cell>
          <cell r="E2178" t="str">
            <v>Coronas. De acero inoxidable preconformadas para reconstrucción de dientes anteriores y posteriores temporales y los primeros molares permanentes.Primer molar permanente. Superior izquierdo. Medidas: No. 6. Envase con 5 piezas.</v>
          </cell>
          <cell r="U2178">
            <v>6</v>
          </cell>
          <cell r="V2178">
            <v>12</v>
          </cell>
        </row>
        <row r="2179">
          <cell r="A2179">
            <v>2176</v>
          </cell>
          <cell r="B2179" t="str">
            <v>060.243.0316</v>
          </cell>
          <cell r="E2179" t="str">
            <v>Coronas. De acero inoxidable preconformadas para reconstrucción de dientes anteriores y posteriores temporales y los primeros molares permanentes. Primer molar permanente. Inferior derecho. Medidas: No. 4. Envase con 5 piezas.</v>
          </cell>
          <cell r="U2179">
            <v>6</v>
          </cell>
          <cell r="V2179">
            <v>12</v>
          </cell>
        </row>
        <row r="2180">
          <cell r="A2180">
            <v>2177</v>
          </cell>
          <cell r="B2180" t="str">
            <v>060.243.0324</v>
          </cell>
          <cell r="E2180" t="str">
            <v>Coronas. De acero inoxidable preconformadas para reconstrucción de dientes anteriores y posteriores temporales y los primeros molares permanentes. Primer molar permanente. Inferior derecho. Medidas: No. 5. Envase con 5 piezas.</v>
          </cell>
          <cell r="U2180">
            <v>6</v>
          </cell>
          <cell r="V2180">
            <v>12</v>
          </cell>
        </row>
        <row r="2181">
          <cell r="A2181">
            <v>2178</v>
          </cell>
          <cell r="B2181" t="str">
            <v>060.243.0332</v>
          </cell>
          <cell r="E2181" t="str">
            <v>Coronas. De acero inoxidable preconformadas para reconstrucción de dientes anteriores y posteriores temporales y los primeros molares permanentes. Primer molar permanente. Inferior derecho. Medidas: No. 6. Envase con 5 piezas.</v>
          </cell>
          <cell r="U2181">
            <v>6</v>
          </cell>
          <cell r="V2181">
            <v>12</v>
          </cell>
        </row>
        <row r="2182">
          <cell r="A2182">
            <v>2179</v>
          </cell>
          <cell r="B2182" t="str">
            <v>060.243.0340</v>
          </cell>
          <cell r="E2182" t="str">
            <v>Coronas. De acero inoxidable preconformadas para reconstrucción de dientes anteriores y posteriores temporales y los primeros molares permanentes. Primer molar permanente. Inferior izquierdo. Medidas: No. 4. Envase con 5 piezas.</v>
          </cell>
          <cell r="U2182">
            <v>6</v>
          </cell>
          <cell r="V2182">
            <v>12</v>
          </cell>
        </row>
        <row r="2183">
          <cell r="A2183">
            <v>2180</v>
          </cell>
          <cell r="B2183" t="str">
            <v>060.243.0357</v>
          </cell>
          <cell r="E2183" t="str">
            <v>Coronas. De acero inoxidable preconformadas para reconstrucción de dientes anteriores y posteriores temporales y los primeros molares permanentes. Primer molar permanente. Inferior izquierdo. Medidas: No. 5. Envase con 5 piezas.</v>
          </cell>
          <cell r="U2183">
            <v>6</v>
          </cell>
          <cell r="V2183">
            <v>12</v>
          </cell>
        </row>
        <row r="2184">
          <cell r="A2184">
            <v>2181</v>
          </cell>
          <cell r="B2184" t="str">
            <v>060.243.0365</v>
          </cell>
          <cell r="E2184" t="str">
            <v>Coronas. De acero inoxidable preconformadas para reconstrucción de dientes anteriores y posteriores temporales y los primeros molares permanentes. Primer molar permanente. Inferior izquierdo. Medidas: No. 6. Envase con 5 piezas.</v>
          </cell>
          <cell r="U2184">
            <v>6</v>
          </cell>
          <cell r="V2184">
            <v>12</v>
          </cell>
        </row>
        <row r="2185">
          <cell r="A2185">
            <v>2182</v>
          </cell>
          <cell r="B2185" t="str">
            <v>060.243.0373</v>
          </cell>
          <cell r="E2185" t="str">
            <v>Coronas. De acero inoxidable preconformadas para reconstrucción de dientes anteriores y posteriores temporales y los primeros molares permanentes. Incisivo central.Superior derecho temporal. Medidas: No. 1. Envase con 5 piezas.</v>
          </cell>
          <cell r="U2185">
            <v>6</v>
          </cell>
          <cell r="V2185">
            <v>12</v>
          </cell>
        </row>
        <row r="2186">
          <cell r="A2186">
            <v>2183</v>
          </cell>
          <cell r="B2186" t="str">
            <v>060.243.0381</v>
          </cell>
          <cell r="E2186" t="str">
            <v>Coronas. De acero inoxidable preconformadas para reconstrucción de dientes anteriores y posteriores temporales y los primeros molares permanentes. Incisivo central.Superior derecho temporal. Medidas: No. 2. Envase con 5 piezas.</v>
          </cell>
          <cell r="U2186">
            <v>6</v>
          </cell>
          <cell r="V2186">
            <v>12</v>
          </cell>
        </row>
        <row r="2187">
          <cell r="A2187">
            <v>2184</v>
          </cell>
          <cell r="B2187" t="str">
            <v>060.243.0399</v>
          </cell>
          <cell r="E2187" t="str">
            <v>Coronas. De acero inoxidable preconformadas para reconstrucción de dientes anteriores y posteriores temporales y los primeros molares permanentes. Incisivo central.Superior derecho temporal. Medidas: No. 3. Envase con 5 piezas.</v>
          </cell>
          <cell r="U2187">
            <v>6</v>
          </cell>
          <cell r="V2187">
            <v>12</v>
          </cell>
        </row>
        <row r="2188">
          <cell r="A2188">
            <v>2185</v>
          </cell>
          <cell r="B2188" t="str">
            <v>060.243.0407</v>
          </cell>
          <cell r="E2188" t="str">
            <v>Coronas. De acero inoxidable preconformadas para reconstrucción de dientes anteriores y posteriores temporales y los primeros molares permanentes. Incisivo central. Superior izquierdo temporal.Medidas: No. 1. Envase con 5 piezas.</v>
          </cell>
          <cell r="U2188">
            <v>6</v>
          </cell>
          <cell r="V2188">
            <v>12</v>
          </cell>
        </row>
        <row r="2189">
          <cell r="A2189">
            <v>2186</v>
          </cell>
          <cell r="B2189" t="str">
            <v>060.243.0415</v>
          </cell>
          <cell r="E2189" t="str">
            <v>Coronas. De acero inoxidable preconformadas para reconstrucción de dientes anteriores y posteriores temporales y los primeros molares permanentes. Incisivo central. Superior izquierdo temporal.Medidas: No. 2. Envase con 5 piezas.</v>
          </cell>
          <cell r="U2189">
            <v>6</v>
          </cell>
          <cell r="V2189">
            <v>12</v>
          </cell>
        </row>
        <row r="2190">
          <cell r="A2190">
            <v>2187</v>
          </cell>
          <cell r="B2190" t="str">
            <v>060.243.0423</v>
          </cell>
          <cell r="E2190" t="str">
            <v>Coronas. De acero inoxidable preconformadas para reconstrucción de dientes anteriores y posteriores temporales y los primeros molares permanentes. Incisivo central. Superior izquierdo temporal.Medidas: No. 3. Envase con 5 piezas.</v>
          </cell>
          <cell r="U2190">
            <v>6</v>
          </cell>
          <cell r="V2190">
            <v>12</v>
          </cell>
        </row>
        <row r="2191">
          <cell r="A2191">
            <v>2188</v>
          </cell>
          <cell r="B2191" t="str">
            <v>060.243.0431</v>
          </cell>
          <cell r="E2191" t="str">
            <v>Coronas. De acero inoxidable preconformadas para reconstrucción de dientes anteriores y posteriores temporales y los primeros molares permanentes. Incisivo lateral. Superior derecho temporal. .Medidas: No. 1. Envase con 5 piezas.</v>
          </cell>
          <cell r="U2191">
            <v>6</v>
          </cell>
          <cell r="V2191">
            <v>12</v>
          </cell>
        </row>
        <row r="2192">
          <cell r="A2192">
            <v>2189</v>
          </cell>
          <cell r="B2192" t="str">
            <v>060.243.0449</v>
          </cell>
          <cell r="E2192" t="str">
            <v>Coronas. De acero inoxidable preconformadas para reconstrucción de dientes anteriores y posteriores temporales y los primeros molares permanentes. Incisivo lateral. Superior derecho temporal. .Medidas: No. 2. Envase con 5 piezas.</v>
          </cell>
          <cell r="U2192">
            <v>6</v>
          </cell>
          <cell r="V2192">
            <v>12</v>
          </cell>
        </row>
        <row r="2193">
          <cell r="A2193">
            <v>2190</v>
          </cell>
          <cell r="B2193" t="str">
            <v>060.243.0456</v>
          </cell>
          <cell r="E2193" t="str">
            <v>Coronas. De acero inoxidable preconformadas para reconstrucción de dientes anteriores y posteriores temporales y los primeros molares permanentes. Incisivo lateral. Superior derecho temporal. .Medidas: No. 3. Envase con 5 piezas.</v>
          </cell>
          <cell r="U2193">
            <v>6</v>
          </cell>
          <cell r="V2193">
            <v>12</v>
          </cell>
        </row>
        <row r="2194">
          <cell r="A2194">
            <v>2191</v>
          </cell>
          <cell r="B2194" t="str">
            <v>060.243.0464</v>
          </cell>
          <cell r="E2194" t="str">
            <v>Coronas. De acero inoxidable preconformadas para reconstrucción de dientes anteriores y posteriores temporales y los primeros molares permanentes. Incisivo lateral. Superior derecho temporal. .Medidas: No. 4. Envase con 5 piezas.</v>
          </cell>
          <cell r="U2194">
            <v>6</v>
          </cell>
          <cell r="V2194">
            <v>12</v>
          </cell>
        </row>
        <row r="2195">
          <cell r="A2195">
            <v>2192</v>
          </cell>
          <cell r="B2195" t="str">
            <v>060.243.0472</v>
          </cell>
          <cell r="E2195" t="str">
            <v>Coronas. De acero inoxidable preconformadas para reconstrucción de dientes anteriores y posteriores temporales y los primeros molares permanentes. Incisivo lateral. Superior derecho temporal. .Medidas: No. 5. Envase con 5 piezas.</v>
          </cell>
          <cell r="U2195">
            <v>6</v>
          </cell>
          <cell r="V2195">
            <v>12</v>
          </cell>
        </row>
        <row r="2196">
          <cell r="A2196">
            <v>2193</v>
          </cell>
          <cell r="B2196" t="str">
            <v>060.243.0480</v>
          </cell>
          <cell r="E2196" t="str">
            <v>Coronas. De acero inoxidable preconformadas para reconstrucción de dientes anteriores y posteriores temporales y los primeros molares permanentes. Incisivo lateral. Superior derecho temporal. .Medidas: No. 6. Envase con 5 piezas.</v>
          </cell>
          <cell r="U2196">
            <v>6</v>
          </cell>
          <cell r="V2196">
            <v>12</v>
          </cell>
        </row>
        <row r="2197">
          <cell r="A2197">
            <v>2194</v>
          </cell>
          <cell r="B2197" t="str">
            <v>060.243.0498</v>
          </cell>
          <cell r="E2197" t="str">
            <v>Coronas. De acero inoxidable preconformadas para reconstrucción de dientes anteriores y posteriores temporales y los primeros molares permanentes. Incisivo lateral. Superior izquierdo temporal. .Medidas: No. 1. Envase con 5 piezas.</v>
          </cell>
          <cell r="U2197">
            <v>6</v>
          </cell>
          <cell r="V2197">
            <v>12</v>
          </cell>
        </row>
        <row r="2198">
          <cell r="A2198">
            <v>2195</v>
          </cell>
          <cell r="B2198" t="str">
            <v>060.243.0506</v>
          </cell>
          <cell r="E2198" t="str">
            <v>Coronas. De acero inoxidable preconformadas para reconstrucción de dientes anteriores y posteriores temporales y los primeros molares permanentes. Incisivo lateral. Superior izquierdo temporal. .Medidas: No. 2. Envase con 5 piezas.</v>
          </cell>
          <cell r="U2198">
            <v>6</v>
          </cell>
          <cell r="V2198">
            <v>12</v>
          </cell>
        </row>
        <row r="2199">
          <cell r="A2199">
            <v>2196</v>
          </cell>
          <cell r="B2199" t="str">
            <v>060.243.0514</v>
          </cell>
          <cell r="E2199" t="str">
            <v>Coronas. De acero inoxidable preconformadas para reconstrucción de dientes anteriores y posteriores temporales y los primeros molares permanentes. Incisivo lateral. Superior izquierdo temporal. .Medidas: No. 3. Envase con 5 piezas.</v>
          </cell>
          <cell r="U2199">
            <v>6</v>
          </cell>
          <cell r="V2199">
            <v>12</v>
          </cell>
        </row>
        <row r="2200">
          <cell r="A2200">
            <v>2197</v>
          </cell>
          <cell r="B2200" t="str">
            <v>060.243.0522</v>
          </cell>
          <cell r="E2200" t="str">
            <v>Coronas. De acero inoxidable preconformadas para reconstrucción de dientes anteriores y posteriores temporales y los primeros molares permanentes. Incisivo lateral. Superior izquierdo temporal. .Medidas: No. 4. Envase con 5 piezas</v>
          </cell>
          <cell r="U2200">
            <v>6</v>
          </cell>
          <cell r="V2200">
            <v>12</v>
          </cell>
        </row>
        <row r="2201">
          <cell r="A2201">
            <v>2198</v>
          </cell>
          <cell r="B2201" t="str">
            <v>060.243.0530</v>
          </cell>
          <cell r="E2201" t="str">
            <v>Coronas. De acero inoxidable preconformadas para reconstrucción de dientes anteriores y posteriores temporales y los primeros molares permanentes. Incisivo lateral. Superior izquierdo temporal. .Medidas: No. 5. Envase con 5 piezas.</v>
          </cell>
          <cell r="U2201">
            <v>6</v>
          </cell>
          <cell r="V2201">
            <v>12</v>
          </cell>
        </row>
        <row r="2202">
          <cell r="A2202">
            <v>2199</v>
          </cell>
          <cell r="B2202" t="str">
            <v>060.243.0548</v>
          </cell>
          <cell r="E2202" t="str">
            <v>Coronas. De acero inoxidable preconformadas para reconstrucción de dientes anteriores y posteriores temporales y los primeros molares permanentes. Incisivo lateral. Superior izquierdo temporal. .Medidas: No. 6. Envase con 5 piezas.</v>
          </cell>
          <cell r="U2202">
            <v>6</v>
          </cell>
          <cell r="V2202">
            <v>12</v>
          </cell>
        </row>
        <row r="2203">
          <cell r="A2203">
            <v>2200</v>
          </cell>
          <cell r="B2203" t="str">
            <v>060.243.0555</v>
          </cell>
          <cell r="E2203" t="str">
            <v>Coronas. De acero inoxidable preconformadas para reconstrucción de dientes anteriores y posteriores temporales y los primeros molares permanentes. Canino temporal superior. Medidas: No. 1. Envase con 5 piezas.</v>
          </cell>
          <cell r="U2203">
            <v>6</v>
          </cell>
          <cell r="V2203">
            <v>12</v>
          </cell>
        </row>
        <row r="2204">
          <cell r="A2204">
            <v>2201</v>
          </cell>
          <cell r="B2204" t="str">
            <v>060.243.0563</v>
          </cell>
          <cell r="E2204" t="str">
            <v>Coronas. De acero inoxidable preconformadas para reconstrucción de dientes anteriores y posteriores temporales y los primeros molares permanentes. Canino temporal superior. Medidas: No. 2. Envase con 5 piezas.</v>
          </cell>
          <cell r="U2204">
            <v>6</v>
          </cell>
          <cell r="V2204">
            <v>12</v>
          </cell>
        </row>
        <row r="2205">
          <cell r="A2205">
            <v>2202</v>
          </cell>
          <cell r="B2205" t="str">
            <v>060.243.0571</v>
          </cell>
          <cell r="E2205" t="str">
            <v>Coronas. De acero inoxidable preconformadas para reconstrucción de dientes anteriores y posteriores temporales y los primeros molares permanentes. Canino temporal superior. Medidas: No. 3. Envase con 5 piezas.</v>
          </cell>
          <cell r="U2205">
            <v>6</v>
          </cell>
          <cell r="V2205">
            <v>12</v>
          </cell>
        </row>
        <row r="2206">
          <cell r="A2206">
            <v>2203</v>
          </cell>
          <cell r="B2206" t="str">
            <v>060.243.0589</v>
          </cell>
          <cell r="E2206" t="str">
            <v>Coronas. De acero inoxidable preconformadas para reconstrucción de dientes anteriores y posteriores temporales y los primeros molares permanentes. Canino temporal inferior. Medidas: No. 4. Envase con 5 piezas.</v>
          </cell>
          <cell r="U2206">
            <v>6</v>
          </cell>
          <cell r="V2206">
            <v>12</v>
          </cell>
        </row>
        <row r="2207">
          <cell r="A2207">
            <v>2204</v>
          </cell>
          <cell r="B2207" t="str">
            <v>060.243.0597</v>
          </cell>
          <cell r="E2207" t="str">
            <v>Coronas. De acero inoxidable preconformadas para reconstrucción de dientes anteriores y posteriores temporales y los primeros molares permanentes. Canino temporal inferior. Medidas: No. 5. Envase con 5 piezas.</v>
          </cell>
          <cell r="U2207">
            <v>6</v>
          </cell>
          <cell r="V2207">
            <v>12</v>
          </cell>
        </row>
        <row r="2208">
          <cell r="A2208">
            <v>2205</v>
          </cell>
          <cell r="B2208" t="str">
            <v>060.243.0605</v>
          </cell>
          <cell r="E2208" t="str">
            <v>Coronas. De acero inoxidable preconformadas para reconstrucción de dientes anteriores y posteriores temporales y los primeros molares permanentes. Canino temporal inferior. Medidas: No. 6. Envase con 5 piezas.</v>
          </cell>
          <cell r="U2208">
            <v>6</v>
          </cell>
          <cell r="V2208">
            <v>12</v>
          </cell>
        </row>
        <row r="2209">
          <cell r="A2209">
            <v>2206</v>
          </cell>
          <cell r="B2209" t="str">
            <v>060.243.0613</v>
          </cell>
          <cell r="E2209" t="str">
            <v>Coronas. De acero inoxidable preconformadas para reconstrucción de dientes anteriores y posteriores temporales y los primeros molares permanentes. Canino temporal superior. Medidas: No. 4. Envase con 5 piezas.</v>
          </cell>
          <cell r="U2209">
            <v>6</v>
          </cell>
          <cell r="V2209">
            <v>12</v>
          </cell>
        </row>
        <row r="2210">
          <cell r="A2210">
            <v>2207</v>
          </cell>
          <cell r="B2210" t="str">
            <v>060.243.0621</v>
          </cell>
          <cell r="E2210" t="str">
            <v>Coronas. De acero inoxidable preconformadas para reconstrucción de dientes anteriores y posteriores temporales y los primeros molares permanentes. Canino temporal inferior. Medidas: No. 2. Envase con 5 piezas.</v>
          </cell>
          <cell r="U2210">
            <v>6</v>
          </cell>
          <cell r="V2210">
            <v>12</v>
          </cell>
        </row>
        <row r="2211">
          <cell r="A2211">
            <v>2208</v>
          </cell>
          <cell r="B2211" t="str">
            <v>060.243.0639</v>
          </cell>
          <cell r="E2211" t="str">
            <v>Coronas. De acero inoxidable preconformadas para reconstrucción de dientes anteriores y posteriores temporales y los primeros molares permanentes. Canino temporal inferior. Medidas: No. 3. Envase con 5 piezas.</v>
          </cell>
          <cell r="U2211">
            <v>6</v>
          </cell>
          <cell r="V2211">
            <v>12</v>
          </cell>
        </row>
        <row r="2212">
          <cell r="A2212">
            <v>2209</v>
          </cell>
          <cell r="B2212" t="str">
            <v>060.243.0647</v>
          </cell>
          <cell r="E2212" t="str">
            <v>Coronas. De acero inoxidable preconformadas para reconstrucción de dientes anteriores y posteriores temporales y los primeros molares permanentes. Canino temporal inferior. Medidas: No. 1. Envase con 5 piezas.</v>
          </cell>
          <cell r="U2212">
            <v>6</v>
          </cell>
          <cell r="V2212">
            <v>12</v>
          </cell>
        </row>
        <row r="2213">
          <cell r="A2213">
            <v>2210</v>
          </cell>
          <cell r="B2213" t="str">
            <v>060.243.0654</v>
          </cell>
          <cell r="E2213" t="str">
            <v>Coronas. De acero inoxidable preconformadas para reconstrucción de dientes anteriores y posteriores temporales y los primeros molares permanentes. Canino temporal superior. Medidas: No. 6. Envase con 5 piezas.</v>
          </cell>
          <cell r="U2213">
            <v>6</v>
          </cell>
          <cell r="V2213">
            <v>12</v>
          </cell>
        </row>
        <row r="2214">
          <cell r="A2214">
            <v>2211</v>
          </cell>
          <cell r="B2214" t="str">
            <v>060.243.0662</v>
          </cell>
          <cell r="E2214" t="str">
            <v>Coronas. De acero inoxidable preconformadas para reconstrucción de dientes anteriores y posteriores temporales y los primeros molares permanentes. Canino temporal superior. Medidas: No. 5. Envase con 5 piezas.</v>
          </cell>
          <cell r="U2214">
            <v>6</v>
          </cell>
          <cell r="V2214">
            <v>12</v>
          </cell>
        </row>
        <row r="2215">
          <cell r="A2215">
            <v>2212</v>
          </cell>
          <cell r="B2215" t="str">
            <v>060.272.0013</v>
          </cell>
          <cell r="E2215" t="str">
            <v>Cucharillas. Para aplicación tópica de flúor en gel de vinil atóxico desechables. Estuche que consta de: 1 par para niños de 2 a 3 años.</v>
          </cell>
          <cell r="U2215">
            <v>115809</v>
          </cell>
          <cell r="V2215">
            <v>289520</v>
          </cell>
        </row>
        <row r="2216">
          <cell r="A2216">
            <v>2213</v>
          </cell>
          <cell r="B2216" t="str">
            <v>060.272.0021</v>
          </cell>
          <cell r="E2216" t="str">
            <v>Cucharillas. Para aplicación tópica de flúor en gel de vinil atóxico desechables. Estuche que consta de: 1 par para niños de 4 a 7 años.</v>
          </cell>
          <cell r="U2216">
            <v>254488</v>
          </cell>
          <cell r="V2216">
            <v>636217</v>
          </cell>
        </row>
        <row r="2217">
          <cell r="A2217">
            <v>2214</v>
          </cell>
          <cell r="B2217" t="str">
            <v>060.272.0039</v>
          </cell>
          <cell r="E2217" t="str">
            <v>Cucharillas. Para aplicación tópica de flúor en gel de vinil atóxico desechables. Estuche que consta de: 1 par para adolescentes.</v>
          </cell>
          <cell r="U2217">
            <v>158031</v>
          </cell>
          <cell r="V2217">
            <v>395075</v>
          </cell>
        </row>
        <row r="2218">
          <cell r="A2218">
            <v>2215</v>
          </cell>
          <cell r="B2218" t="str">
            <v>060.272.0047</v>
          </cell>
          <cell r="E2218" t="str">
            <v>CUCHARILLAS PARA APLICACION TOPICA DE FLUOR EN GEL, DE VINIL ATOXICO DESECHABLE,ESTUCHE QUE CONSTA DE 1 PAR PARA ADULTOS.</v>
          </cell>
          <cell r="U2218">
            <v>129687</v>
          </cell>
          <cell r="V2218">
            <v>324216</v>
          </cell>
        </row>
        <row r="2219">
          <cell r="A2219">
            <v>2216</v>
          </cell>
          <cell r="B2219" t="str">
            <v>060.274.0193</v>
          </cell>
          <cell r="E2219" t="str">
            <v>CUERDAS. GUIA PARA REEMPLAZO DE CATETER CON PUNTA FLEXIBLE RECTA DE 0.032PULGADAS DE DIAMETRO Y 260 CM DE LONGITUD. PIEZA.</v>
          </cell>
          <cell r="U2219">
            <v>336</v>
          </cell>
          <cell r="V2219">
            <v>839</v>
          </cell>
        </row>
        <row r="2220">
          <cell r="A2220">
            <v>2217</v>
          </cell>
          <cell r="B2220" t="str">
            <v>060.274.0201</v>
          </cell>
          <cell r="E2220" t="str">
            <v>CUERDAS. GUIA PARA REEMPLAZO DE CATETER CON PUNTA FLEXIBLE RECTA DE 0.035PULGADAS DE DIAMETRO Y 260 CM DE LONGITUD. PIEZA.</v>
          </cell>
          <cell r="U2220">
            <v>397</v>
          </cell>
          <cell r="V2220">
            <v>991</v>
          </cell>
        </row>
        <row r="2221">
          <cell r="A2221">
            <v>2218</v>
          </cell>
          <cell r="B2221" t="str">
            <v>060.274.0219</v>
          </cell>
          <cell r="E2221" t="str">
            <v>CUERDAS. GUÍA PARA REEMPLAZO DE CATÉTER CON PUNTA FLEXIBLE RECTA DE 0.038 " DE DIÁMETRO Y 260 CM DE LONGITUD. PIEZA.</v>
          </cell>
          <cell r="U2221">
            <v>144</v>
          </cell>
          <cell r="V2221">
            <v>360</v>
          </cell>
        </row>
        <row r="2222">
          <cell r="A2222">
            <v>2219</v>
          </cell>
          <cell r="B2222" t="str">
            <v>060.274.0243</v>
          </cell>
          <cell r="E2222" t="str">
            <v>Cuerdas.  Guía recubierta de politetrafluoretileno para catéter con punta en "J " de 3 mm de 0.014" de diámetro y de 175 cm a 185 cm de longitud. Pieza.</v>
          </cell>
          <cell r="U2222">
            <v>200</v>
          </cell>
          <cell r="V2222">
            <v>500</v>
          </cell>
        </row>
        <row r="2223">
          <cell r="A2223">
            <v>2220</v>
          </cell>
          <cell r="B2223" t="str">
            <v>060.274.0276</v>
          </cell>
          <cell r="E2223" t="str">
            <v>CUERDAS. GUIA RECUBIERTA DE POLITETRAFLUORETILENO PARA CATETER CON PUNTA EN J DE3 MM DE 0.035 PULGADAS DE DIAMETRO Y 260 CM DE LONGITUD. PIEZA.</v>
          </cell>
          <cell r="U2223">
            <v>48</v>
          </cell>
          <cell r="V2223">
            <v>120</v>
          </cell>
        </row>
        <row r="2224">
          <cell r="A2224">
            <v>2221</v>
          </cell>
          <cell r="B2224" t="str">
            <v>060.274.0367</v>
          </cell>
          <cell r="E2224" t="str">
            <v>Cuerdas. Rotador de cuerda guía para angioplastia coronaria de 0.014" de diámetro. Tipo: pin-vice. Desechable. Pieza.</v>
          </cell>
          <cell r="U2224">
            <v>1102</v>
          </cell>
          <cell r="V2224">
            <v>2755</v>
          </cell>
        </row>
        <row r="2225">
          <cell r="A2225">
            <v>2222</v>
          </cell>
          <cell r="B2225" t="str">
            <v>060.274.0375</v>
          </cell>
          <cell r="E2225" t="str">
            <v>Cuerdas.  Guía para angioplastía coronaria con punta recta flexible de 0.014" de diámetro y de 175 cm a 182 cm de longitud. Pieza.</v>
          </cell>
          <cell r="U2225">
            <v>212</v>
          </cell>
          <cell r="V2225">
            <v>530</v>
          </cell>
        </row>
        <row r="2226">
          <cell r="A2226">
            <v>2223</v>
          </cell>
          <cell r="B2226" t="str">
            <v>060.274.0383</v>
          </cell>
          <cell r="E2226" t="str">
            <v>Cuerdas. Guía para angioplastia coronaria con punta recta muy flexible de 0.014" de diámetro y 175 cm de longitud. Pieza.</v>
          </cell>
          <cell r="U2226">
            <v>128</v>
          </cell>
          <cell r="V2226">
            <v>319</v>
          </cell>
        </row>
        <row r="2227">
          <cell r="A2227">
            <v>2224</v>
          </cell>
          <cell r="B2227" t="str">
            <v>060.274.0391</v>
          </cell>
          <cell r="E2227" t="str">
            <v>CUERDAS GUIA PARA ANGIOPLASTIA CORONARIA, CON PUNTA RECTA ESTANDAR, DE 0.014"DE  DIAMETRO Y 175 CM  DE LONGITUD.</v>
          </cell>
          <cell r="U2227">
            <v>607</v>
          </cell>
          <cell r="V2227">
            <v>1515</v>
          </cell>
        </row>
        <row r="2228">
          <cell r="A2228">
            <v>2225</v>
          </cell>
          <cell r="B2228" t="str">
            <v>060.274.0516</v>
          </cell>
          <cell r="E2228" t="str">
            <v>CUERDAS. DE ELASTOMERO DE SILICON. DIAMETRO: 5 MM. LONGITUD: 24 CM. PIEZA.</v>
          </cell>
          <cell r="U2228">
            <v>264</v>
          </cell>
          <cell r="V2228">
            <v>660</v>
          </cell>
        </row>
        <row r="2229">
          <cell r="A2229">
            <v>2226</v>
          </cell>
          <cell r="B2229" t="str">
            <v>060.274.0524</v>
          </cell>
          <cell r="E2229" t="str">
            <v>CUERDAS. GUÍA DE RECAMBIO RECUBIERTA DE POLITETRAFLUORETILENO DIÁMETRO DE 0.014" Y 300 CM DE LONGITUD. PIEZA.</v>
          </cell>
          <cell r="U2229">
            <v>203</v>
          </cell>
          <cell r="V2229">
            <v>504</v>
          </cell>
        </row>
        <row r="2230">
          <cell r="A2230">
            <v>2227</v>
          </cell>
          <cell r="B2230" t="str">
            <v>060.274.0532</v>
          </cell>
          <cell r="E2230" t="str">
            <v>Cuerdas. Guía  extrarrígida  cubierta  de  politetrafluoretileno  de 0.035" de diámetro y 260 cm de longitud. Pieza.</v>
          </cell>
          <cell r="U2230">
            <v>224</v>
          </cell>
          <cell r="V2230">
            <v>557</v>
          </cell>
        </row>
        <row r="2231">
          <cell r="A2231">
            <v>2228</v>
          </cell>
          <cell r="B2231" t="str">
            <v>060.274.0540</v>
          </cell>
          <cell r="E2231" t="str">
            <v>CUERDAS. GUÍA RECUBIERTA DE POLITETRAFLUORETILENO PARA CATÉTER CON PUNTA RECTA DIÁMETRO 0.014" SUPERFLEXIBLE DE 300 CM DE LONGITUD. PIEZA.</v>
          </cell>
          <cell r="U2231">
            <v>240</v>
          </cell>
          <cell r="V2231">
            <v>600</v>
          </cell>
        </row>
        <row r="2232">
          <cell r="A2232">
            <v>2229</v>
          </cell>
          <cell r="B2232" t="str">
            <v>060.274.0557</v>
          </cell>
          <cell r="E2232" t="str">
            <v>Cuerdas. Guía para angioplastía coronaria con punta recta flexible suave. Radiopaca. Diámetro: 0.014" Longitud: 180 cm. Pieza.</v>
          </cell>
          <cell r="U2232">
            <v>248</v>
          </cell>
          <cell r="V2232">
            <v>619</v>
          </cell>
        </row>
        <row r="2233">
          <cell r="A2233">
            <v>2230</v>
          </cell>
          <cell r="B2233" t="str">
            <v>060.274.0573</v>
          </cell>
          <cell r="E2233" t="str">
            <v>Cuerdas. Guía para angioplastía coronaria con punta recta flexible supersuave. Radiopaca. Diámetro: 0.014" Longitud: 180 cm. Pieza.</v>
          </cell>
          <cell r="U2233">
            <v>129</v>
          </cell>
          <cell r="V2233">
            <v>321</v>
          </cell>
        </row>
        <row r="2234">
          <cell r="A2234">
            <v>2231</v>
          </cell>
          <cell r="B2234" t="str">
            <v>060.274.0599</v>
          </cell>
          <cell r="E2234" t="str">
            <v>CUERDAS. GUIA PARA ANGIOPLASTIA CORONARIA CON PUNTA RECTA FLEXIBLE ESTANDAR.RADIOPACA. DIAMETRO: 0.014 PULGADAS. LONGITUD 300 CM. PIEZA.</v>
          </cell>
          <cell r="U2234">
            <v>50</v>
          </cell>
          <cell r="V2234">
            <v>123</v>
          </cell>
        </row>
        <row r="2235">
          <cell r="A2235">
            <v>2232</v>
          </cell>
          <cell r="B2235" t="str">
            <v>060.274.0607</v>
          </cell>
          <cell r="E2235" t="str">
            <v>Cuerdas. Guía para angioplastía coronaria de extra soporte con punta recta flexible supersuave. Radiolúcida. Diámetro: 0.014" Longitud: 180 cm. Pieza.</v>
          </cell>
          <cell r="U2235">
            <v>30</v>
          </cell>
          <cell r="V2235">
            <v>75</v>
          </cell>
        </row>
        <row r="2236">
          <cell r="A2236">
            <v>2233</v>
          </cell>
          <cell r="B2236" t="str">
            <v>060.274.0698</v>
          </cell>
          <cell r="E2236" t="str">
            <v>Cuerdas. Cuerda guía con recubrimiento de politetrafluoretileno con punta en "J" de 3 mm en la curva longitud 150 cm. Estéril y desechable. Diámetro: 0.035" . Pieza.</v>
          </cell>
          <cell r="U2236">
            <v>615</v>
          </cell>
          <cell r="V2236">
            <v>1534</v>
          </cell>
        </row>
        <row r="2237">
          <cell r="A2237">
            <v>2234</v>
          </cell>
          <cell r="B2237" t="str">
            <v>060.274.0755</v>
          </cell>
          <cell r="E2237" t="str">
            <v>Cuerdas. Cuerda guía con recubrimiento hidrofílico con punta en "J" de  3  mm  en  la  curva  longitud  150  cm.  Estéril  y desechable. Diámetro: 0.035" . Pieza.</v>
          </cell>
          <cell r="U2237">
            <v>1358</v>
          </cell>
          <cell r="V2237">
            <v>3392</v>
          </cell>
        </row>
        <row r="2238">
          <cell r="A2238">
            <v>2235</v>
          </cell>
          <cell r="B2238" t="str">
            <v>060.274.0771</v>
          </cell>
          <cell r="E2238" t="str">
            <v>CUERDAS. MICROGUIA DE ACERO INOXIDABLE CON CUBIERTA HIDROFILICA Y EXTREMO DISTALRADIOPACO CON PUNTA MOLDEABLE. ESTERIL Y DESECHABLE. CALIBRE: 0.010 PULGADASLONGITUD: 195 CM. PIEZA.</v>
          </cell>
          <cell r="U2238">
            <v>137</v>
          </cell>
          <cell r="V2238">
            <v>341</v>
          </cell>
        </row>
        <row r="2239">
          <cell r="A2239">
            <v>2236</v>
          </cell>
          <cell r="B2239" t="str">
            <v>060.274.0789</v>
          </cell>
          <cell r="E2239" t="str">
            <v>CUERDAS. MICROGUIA DE ACERO INOXIDABLE CON CUBIERTA HIDROFILICA Y EXTREMO DISTALRADIOPACO CON PUNTA MOLDEABLE. ESTERIL Y DESECHABLE. CALIBRE: 0.014 PULGADAS.LONGITUD: 205 CM. PIEZA.</v>
          </cell>
          <cell r="U2239">
            <v>400</v>
          </cell>
          <cell r="V2239">
            <v>998</v>
          </cell>
        </row>
        <row r="2240">
          <cell r="A2240">
            <v>2237</v>
          </cell>
          <cell r="B2240" t="str">
            <v>060.276.0050</v>
          </cell>
          <cell r="E2240" t="str">
            <v>CUÑAS. DE MADERA PARA ESPACIOS INTERDENTARIOS. ENVASE CON 100 PIEZAS.</v>
          </cell>
          <cell r="U2240">
            <v>5322</v>
          </cell>
          <cell r="V2240">
            <v>13302</v>
          </cell>
        </row>
        <row r="2241">
          <cell r="A2241">
            <v>2238</v>
          </cell>
          <cell r="B2241" t="str">
            <v>060.286.0132</v>
          </cell>
          <cell r="E2241" t="str">
            <v>DESINFECTANTES. CLORURO DE BENZALCONIO AL 12 %. CADA 100 ML CONTIENEN: CLORURODE BENZALCONIO 12 G. NITRITO DE SODIO (ANTIOXIDANTE) 5 G. ENVASE CON 500 ML.</v>
          </cell>
          <cell r="U2241">
            <v>19954</v>
          </cell>
          <cell r="V2241">
            <v>49882</v>
          </cell>
        </row>
        <row r="2242">
          <cell r="A2242">
            <v>2239</v>
          </cell>
          <cell r="B2242" t="str">
            <v>060.308.0029</v>
          </cell>
          <cell r="E2242" t="str">
            <v>Dispositivos. Intrauterino. T de cobre 380 A. Anticonceptivo estéril con 380 mm2 de cobre plástico grado médico 77% y sulfato de bario USP 23% con filamento largo de 30 cm con tubo insertor tope y émbolo insertor. Pieza.</v>
          </cell>
          <cell r="U2242">
            <v>1229617</v>
          </cell>
          <cell r="V2242">
            <v>3074039</v>
          </cell>
        </row>
        <row r="2243">
          <cell r="A2243">
            <v>2240</v>
          </cell>
          <cell r="B2243" t="str">
            <v>060.308.0151</v>
          </cell>
          <cell r="E2243" t="str">
            <v>DISPOSITIVOS. INTRAUTERINO. CU 375 CORTO. ANTICONCEPTIVO DE POLIETILENO ESTERILCON 375 MM2 DE COBRE CON BRAZOS LATERALES CURVADOS Y FLEXIBLES CON 5 NODULOS DERETENCION CADA UNO QUE LE DAN UN ANCHO TOTAL DE 16 A 20.5 MM. FILAMENTO DE 20 A25 CM DE LONGITUD CON TUBO INSERTOR CON TOPE CERVICAL. PIEZA.</v>
          </cell>
          <cell r="U2243">
            <v>70364</v>
          </cell>
          <cell r="V2243">
            <v>175907</v>
          </cell>
        </row>
        <row r="2244">
          <cell r="A2244">
            <v>2241</v>
          </cell>
          <cell r="B2244" t="str">
            <v>060.308.0169</v>
          </cell>
          <cell r="E2244" t="str">
            <v>DISPOSITIVOS. INTRAUTERINO. CU 375 ESTANDAR. ANTICONCEPTIVO DE POLIETILENOESTERIL CON 375 MM2 DE COBRE CON BRAZOS LATERALES CURVADOS Y FLEXIBLES CON 5NODULOS DE RETENCION CADA UNO QUE LE DA UN ANCHO TOTAL DE 16 A 20.5 MM.FILAMENTO DE 20 A 25 CM DE LONGITUD CON TUBO INSERTOR CON TOPE CERVICAL. PIEZA.</v>
          </cell>
          <cell r="U2244">
            <v>79508</v>
          </cell>
          <cell r="V2244">
            <v>198767</v>
          </cell>
        </row>
        <row r="2245">
          <cell r="A2245">
            <v>2242</v>
          </cell>
          <cell r="B2245" t="str">
            <v>060.308.0177</v>
          </cell>
          <cell r="E2245" t="str">
            <v>Condón masculino. De hule látex. Envase con 100 piezas.</v>
          </cell>
          <cell r="U2245">
            <v>2897087</v>
          </cell>
          <cell r="V2245">
            <v>7242717</v>
          </cell>
        </row>
        <row r="2246">
          <cell r="A2246">
            <v>2243</v>
          </cell>
          <cell r="B2246" t="str">
            <v>060.308.0193</v>
          </cell>
          <cell r="E2246" t="str">
            <v>Dispositivos. Dispositivo Intrauterino T de cobre para nulíparas estéril con 380 mm2 de cobre enrollado con bordes redondos con longitud horizontal de 22.20 a 23.20 mm longitud vertical de 28.0 a 30.0 mm filamento de 20 a 25 cm bastidor con una mezcla del 77 al 85% de plástico grado médico y del 15 al 23% de sulfato de bario con tubo insertor y aplicador montable con tope cervical. Pieza.</v>
          </cell>
          <cell r="U2246">
            <v>131753</v>
          </cell>
          <cell r="V2246">
            <v>329380</v>
          </cell>
        </row>
        <row r="2247">
          <cell r="A2247">
            <v>2244</v>
          </cell>
          <cell r="B2247" t="str">
            <v>060.308.0227</v>
          </cell>
          <cell r="E2247" t="str">
            <v>Condón femenino. De poliuretano o látex lubricado con dos anillos flexibles en los extremos. Envase con 1 2 ó 3 piezas en empaque individual.</v>
          </cell>
          <cell r="U2247">
            <v>1438270</v>
          </cell>
          <cell r="V2247">
            <v>3595671</v>
          </cell>
        </row>
        <row r="2248">
          <cell r="A2248">
            <v>2245</v>
          </cell>
          <cell r="B2248" t="str">
            <v>060.309.0010</v>
          </cell>
          <cell r="E2248" t="str">
            <v>DESFIBRILADOR CARDIOVERSOR. IMPLANTABLE, MULTIPROGRAMABLE, DEFINITIVO, PARAIMPLANTE PECTORAL O ABDOMINAL, PARA EL TRATAMIENTO DE TAQUIARRITMIAS CARDIACAS,CON CAPACIDAD DE REALIZAR ESTUDIOS ELECTROFISIOLOGICOS  NO INVASIVOS Y FUNCIONESDE MARCAPASOS. CONECTORES: BIPOLAR IS-1 PARA ESTIMULACION / SENSADA. DF-1 PARALOS ELECTRODOS DE ALTO VOLTAJE. FUNCIONES PROGRAMABLES: VOLTAJE DE MARCAPASOS,ANCHO DE PULSO DEL MARCAPASO. FRECUENCIA, HISTERESIS, PERIODO DE SEGAMIENTO,TERAPIAS DE CARDIOVERSION, DESFIBRILACION Y ESTIMULACION ANTI-TAQUICARDIA,ELECTROGRAMAS ALMACENADOS, SENSIBILIDAD, INTERVALOS DE DETECCION PARATAQUICARDIA VENTRICULAR Y FIBRILACION VENTRICULAR, ETC. TELEMETRIA: SI PESO:MENOR A 132 GRAMOS. GROSOR: MENOR A 20 MM. FUENTE DE ALIMENTACION: OXIDO DELITIO, PLATA Y VANADIO. VOLTAJE DE LA BATERIA: 6.4 V. PIEZA.</v>
          </cell>
          <cell r="U2248">
            <v>538</v>
          </cell>
          <cell r="V2248">
            <v>1342</v>
          </cell>
        </row>
        <row r="2249">
          <cell r="A2249">
            <v>2246</v>
          </cell>
          <cell r="B2249" t="str">
            <v>060.314.0054</v>
          </cell>
          <cell r="E2249" t="str">
            <v>Equipo. Para drenaje de la cavidad pleural. Con tres cámaras para sello de agua succión y colección de líquidos. Con dos válvulas de seguridad de alta presión positiva y negativa. Estéril y desechable. Capacidad 2100 a 2500 ml. Equipo.</v>
          </cell>
          <cell r="U2249">
            <v>116147</v>
          </cell>
          <cell r="V2249">
            <v>290366</v>
          </cell>
        </row>
        <row r="2250">
          <cell r="A2250">
            <v>2247</v>
          </cell>
          <cell r="B2250" t="str">
            <v>060.314.0062</v>
          </cell>
          <cell r="E2250" t="str">
            <v>EQUIPOS. PARA DRENAJE DE LA CAVIDAD PLEURAL. CON DOS CÁMARAS PARA SELLO DE AGUA SUCCIÓN Y COLECCIÓN DE LÍQUIDOS. CON UNA VÁLVULA DE SEGURIDAD DE PRESIÓN POSITIVA Y CIERRE DE PRESIÓN NEGATIVA. ESTÉRIL Y DESECHABLE. CAPACIDAD 2100 A 2500 ML. EQUIPO.</v>
          </cell>
          <cell r="U2250">
            <v>48</v>
          </cell>
          <cell r="V2250">
            <v>118</v>
          </cell>
        </row>
        <row r="2251">
          <cell r="A2251">
            <v>2248</v>
          </cell>
          <cell r="B2251" t="str">
            <v>060.330.0054</v>
          </cell>
          <cell r="E2251" t="str">
            <v>ELECTRODO DE BROCHE PARA MONITOREO, CONTINUO, DESECHABLE, CON PASTA CONDUCTIVA. PIEZA.</v>
          </cell>
          <cell r="U2251">
            <v>412234</v>
          </cell>
          <cell r="V2251">
            <v>1030584</v>
          </cell>
        </row>
        <row r="2252">
          <cell r="A2252">
            <v>2249</v>
          </cell>
          <cell r="B2252" t="str">
            <v>060.330.0914</v>
          </cell>
          <cell r="E2252" t="str">
            <v>ELECTRODO DE BOLA, RECTO, DE ACERO INOXIDABLE, DIAMETRO DE BOLA 6 MM.ESTERILIZABLE A VAPOR O POR MEDIO DE AGENTES QUIMICOS, REUSABLE. CONSUMIBLEPARAEL EQUIPO DE ELECTROCIRUGIA CLAVE 531 431 0102.</v>
          </cell>
          <cell r="U2252">
            <v>2514</v>
          </cell>
          <cell r="V2252">
            <v>6284</v>
          </cell>
        </row>
        <row r="2253">
          <cell r="A2253">
            <v>2250</v>
          </cell>
          <cell r="B2253" t="str">
            <v>060.330.0997</v>
          </cell>
          <cell r="E2253" t="str">
            <v>ELECTRODO DE BOLA, RECTO DE ACERO INOXIDABLE, DIAMETRO DE LA BOLA 4 MM.,ESTERILIZABLE A VAPOR O POR MEDIO DE AGENTES QUIMICOS, REUSABLE. CONSUMIBLEPARAEL EQUIPO DE ELECTROCIRUGIA CLAVE 531 431 0102.</v>
          </cell>
          <cell r="U2253">
            <v>5380</v>
          </cell>
          <cell r="V2253">
            <v>13447</v>
          </cell>
        </row>
        <row r="2254">
          <cell r="A2254">
            <v>2251</v>
          </cell>
          <cell r="B2254" t="str">
            <v>060.337.0164</v>
          </cell>
          <cell r="E2254" t="str">
            <v>Engrapadora. Para piel con extractor de grapas. Pieza.</v>
          </cell>
          <cell r="U2254">
            <v>39700</v>
          </cell>
          <cell r="V2254">
            <v>99248</v>
          </cell>
        </row>
        <row r="2255">
          <cell r="A2255">
            <v>2252</v>
          </cell>
          <cell r="B2255" t="str">
            <v>060.337.0180</v>
          </cell>
          <cell r="E2255" t="str">
            <v>Engrapadora. Lineal recargable. Cartucho con grapas. Pieza.</v>
          </cell>
          <cell r="U2255">
            <v>10078</v>
          </cell>
          <cell r="V2255">
            <v>25192</v>
          </cell>
        </row>
        <row r="2256">
          <cell r="A2256">
            <v>2253</v>
          </cell>
          <cell r="B2256" t="str">
            <v>060.337.0214</v>
          </cell>
          <cell r="E2256" t="str">
            <v>Engrapadora. Lineal cortante. Cartucho con grapas. Pieza.</v>
          </cell>
          <cell r="U2256">
            <v>16156</v>
          </cell>
          <cell r="V2256">
            <v>40386</v>
          </cell>
        </row>
        <row r="2257">
          <cell r="A2257">
            <v>2254</v>
          </cell>
          <cell r="B2257" t="str">
            <v>060.337.0230</v>
          </cell>
          <cell r="E2257" t="str">
            <v>Engrapadora. Circular para anastomosis terminoterminal. Pieza.</v>
          </cell>
          <cell r="U2257">
            <v>10665</v>
          </cell>
          <cell r="V2257">
            <v>26660</v>
          </cell>
        </row>
        <row r="2258">
          <cell r="A2258">
            <v>2255</v>
          </cell>
          <cell r="B2258" t="str">
            <v>060.339.0030</v>
          </cell>
          <cell r="E2258" t="str">
            <v>Escafandras. Para aplicación de oxígeno o aerosoles en niños. De acrílico. Cilíndrica. 15 x 20 x 25 cm. Pieza.</v>
          </cell>
          <cell r="U2258">
            <v>10</v>
          </cell>
          <cell r="V2258">
            <v>24</v>
          </cell>
        </row>
        <row r="2259">
          <cell r="A2259">
            <v>2256</v>
          </cell>
          <cell r="B2259" t="str">
            <v>060.341.0325</v>
          </cell>
          <cell r="E2259" t="str">
            <v>ESCOBILLONES DE ALAMBRE GALVANIZADO CON CERDAS DE NYLON O DE ORIGEN ANIMALTAMANO: CHICO. PIEZA.</v>
          </cell>
          <cell r="U2259">
            <v>5398</v>
          </cell>
          <cell r="V2259">
            <v>13494</v>
          </cell>
        </row>
        <row r="2260">
          <cell r="A2260">
            <v>2257</v>
          </cell>
          <cell r="B2260" t="str">
            <v>060.341.0333</v>
          </cell>
          <cell r="E2260" t="str">
            <v>ESCOBILLONES DE ALAMBRE GALVANIZADO CON CERDAS DE NYLON O DE ORIGEN ANIMALTAMANO: MEDIANO. PIEZA.</v>
          </cell>
          <cell r="U2260">
            <v>2333</v>
          </cell>
          <cell r="V2260">
            <v>5829</v>
          </cell>
        </row>
        <row r="2261">
          <cell r="A2261">
            <v>2258</v>
          </cell>
          <cell r="B2261" t="str">
            <v>060.341.0341</v>
          </cell>
          <cell r="E2261" t="str">
            <v>ESCOBILLONES DE ALAMBRE GALVANIZADO CON CERDAS DE NYLON O DE ORIGEN ANIMALTAMANO: GRANDE. PIEZA.</v>
          </cell>
          <cell r="U2261">
            <v>1646</v>
          </cell>
          <cell r="V2261">
            <v>4112</v>
          </cell>
        </row>
        <row r="2262">
          <cell r="A2262">
            <v>2259</v>
          </cell>
          <cell r="B2262" t="str">
            <v>060.344.0025</v>
          </cell>
          <cell r="E2262" t="str">
            <v>IMPLANTES. CONFORMADOR DE LA PROTESIS DE OJO. PARA ENUCLEACION. PARA ESFERAS DEMETILMETACRILATO.TRANSPARENTE. MEDIDAS: 12 MM. PIEZA.</v>
          </cell>
          <cell r="U2262">
            <v>478</v>
          </cell>
          <cell r="V2262">
            <v>1192</v>
          </cell>
        </row>
        <row r="2263">
          <cell r="A2263">
            <v>2260</v>
          </cell>
          <cell r="B2263" t="str">
            <v>060.344.0033</v>
          </cell>
          <cell r="E2263" t="str">
            <v>IMPLANTES. CONFORMADOR DE LA PROTESIS DE OJO. PARA ENUCLEACION. PARA ESFERASDEMETILMETACRILATO TRANSPARENTE. MEDIDAS: 16 MM. PIEZA.</v>
          </cell>
          <cell r="U2263">
            <v>494</v>
          </cell>
          <cell r="V2263">
            <v>1234</v>
          </cell>
        </row>
        <row r="2264">
          <cell r="A2264">
            <v>2261</v>
          </cell>
          <cell r="B2264" t="str">
            <v>060.344.0041</v>
          </cell>
          <cell r="E2264" t="str">
            <v>Implantes. Conformador de la prótesis de ojo. Para enucleación. Para esferas de metilmetacrilato transparente. Medidas: 18 mm. Pieza.</v>
          </cell>
          <cell r="U2264">
            <v>4220</v>
          </cell>
          <cell r="V2264">
            <v>10546</v>
          </cell>
        </row>
        <row r="2265">
          <cell r="A2265">
            <v>2262</v>
          </cell>
          <cell r="B2265" t="str">
            <v>060.345.0115</v>
          </cell>
          <cell r="E2265" t="str">
            <v>Equipos.Conector luer-lock con línea de transferencia para unirse al catéter tipo Tenckhoff con cierre hermético para pacientes en diálisis peritoneal continua ambulatoria incluye: filtro protector conector tubo de extensión sistema de regulación de carretilla bayoneta y protector de la bayoneta. Estéril y desechable. Equipo.</v>
          </cell>
          <cell r="U2265">
            <v>8479</v>
          </cell>
          <cell r="V2265">
            <v>21195</v>
          </cell>
        </row>
        <row r="2266">
          <cell r="A2266">
            <v>2263</v>
          </cell>
          <cell r="B2266" t="str">
            <v>060.345.0123</v>
          </cell>
          <cell r="E2266" t="str">
            <v>EQUIPOS. PARA APLICACION DE FILTRO INTRACAVAL FEMORAL. FERROMAGNETICO O NOFERROMAGNETICO. CONSTA DE APLICADOR Y FILTRO. TIPO: GREENFIELD. EQUIPO.</v>
          </cell>
          <cell r="U2266">
            <v>1140</v>
          </cell>
          <cell r="V2266">
            <v>2846</v>
          </cell>
        </row>
        <row r="2267">
          <cell r="A2267">
            <v>2264</v>
          </cell>
          <cell r="B2267" t="str">
            <v>060.345.0149</v>
          </cell>
          <cell r="E2267" t="str">
            <v>EQUIPOS. PARA HEMODIALISIS, PEDIATRICO. INSERCION EN SUBCLAVIA, YUGULAR OFEMORAL, DOBLE LUMEN. CONTIENE: UNA CANULA. UNA JERINGA DE 5 ML. UNA GUIA DEACERO INOXIDABLE. UN CATETER DOBLE LUMEN DE 8 A 10 FR, LONGITUD DE 130 A 150 MM,CON OBTURADOR, UN DILATADOR Y EXTENSIONES CURVAS. ESTERIL Y DESECHABLE. TIPO:MAHURKAR. EQUIPO.</v>
          </cell>
          <cell r="U2267">
            <v>740</v>
          </cell>
          <cell r="V2267">
            <v>1848</v>
          </cell>
        </row>
        <row r="2268">
          <cell r="A2268">
            <v>2265</v>
          </cell>
          <cell r="B2268" t="str">
            <v>060.345.0198</v>
          </cell>
          <cell r="E2268" t="str">
            <v>EQUIPOS. PARA NEFROSTOMIA PERCUTANEA. CONSTA DE: - CATETER COLA DE COCHINO DEPOLIURETANO RADIOPACO CALIBRE 6 FR X 15 A 35 CM DE LONGITUD. GUIA METALICA DE0.038" (0.965 MM.) DE DIAMETRO Y 80 CM DE LONGITUD CON PUNTA DE SEGURIDAD EN J.- DILATADORES RADIOPACOS CALIBRES 5, 6 Y 8 FR CON LONGITUD DE 20 A 24 CM. -AGUJA TIPO: MITTY-POLLACK CALIBRE 22 G POR 20 A 22 CM DE LONGITUD Y CALIBRE 18 GX 14 CM DE LONGITUD CON ESTILETE FLEXIBLE O DOS AGUJAS. TIPO SHIBA CALIBRE 22 GX 20 A 25 CM DE LONGITUD CON SU RESPECTIVA GUIA METALICA Y CALIBRE 18 G X 20 A25 CM DE LONGITUD CON ESTILETES FLEXIBLES UNO PARA CADA AGUJA. - TUBO DE DRENAJECON CONECTOR LUER LOCK CALIBRE 14 FR X 30 CM DE LONGITUD U OTRO SISTEMA QUEPERMITA LA INTRODUCCION Y EXTRACCION DEL CATETER CON SISTEMA DE FIJACION A LAPIEL. EQUIPO.</v>
          </cell>
          <cell r="U2268">
            <v>332</v>
          </cell>
          <cell r="V2268">
            <v>827</v>
          </cell>
        </row>
        <row r="2269">
          <cell r="A2269">
            <v>2266</v>
          </cell>
          <cell r="B2269" t="str">
            <v>060.345.0214</v>
          </cell>
          <cell r="E2269" t="str">
            <v>EQUIPOS. PARA NEFROSTOMIA PERCUTANEA. CONSTA DE: - CATETER COLA DE COCHINO DEPOLIURETANO RADIOPACO CALIBRE 8 A 9 FR X 30 A 35 CM DE LONGITUD. GUIA METALICADE 0.038 " (0.965 MM) DE DIAMETRO Y 80 CM DE LONGITUD CON PUNTA DE SEGURIDAD ENJ. - DILATADORES RADIOPACOS CALIBRE 6, 8 Y 10 FR CON LONGITUD DE 20 A 24 CM. -AGUJA TIPO: MITTY-POLLACK CALIBRE 22 G X 20 A 22 CM DE LONGITUD Y CALIBRE 18 G X14 CM DE LONGITUD CON ESTILETE FLEXIBLE O DOS AGUJAS. TIPO SHIBA CALIBRE 22 G X20 A 25 CM DE LONGITUD CON SU RESPECTIVA GUIA METALICA Y CALIBRE 18 G X 20 A 25CM DE LONGITUD CON ESTILETES FLEXIBLES UNO PARA CADA AGUJA. - TUBO DE DRENAJECON CONECTOR LUER LOCK CALIBRE 14 FR X 30 CM DE LONGITUD U OTRO SISTEMA QUEPERMITA LA INTRODUCCION Y EXTRACCION DEL CATETER CON SISTEMA DE FIJACION A LAPIEL. EQUIPO.</v>
          </cell>
          <cell r="U2269">
            <v>800</v>
          </cell>
          <cell r="V2269">
            <v>1996</v>
          </cell>
        </row>
        <row r="2270">
          <cell r="A2270">
            <v>2267</v>
          </cell>
          <cell r="B2270" t="str">
            <v>060.345.0222</v>
          </cell>
          <cell r="E2270" t="str">
            <v>EQUIPOS. PARA NEFROSTOMIA PERCUTANEA. CONSTA DE: - CATETER COLA DE COCHINO DEPOLIURETANO RADIOPACO CALIBRE 10 FR X 30 A 35 CM DE LONGITUD. GUIA METALICA DE0.038" (0.965 MM) DE DIAMETRO Y 80 CM DE LONGITUD CON PUNTA DE SEGURIDAD EN J. -DILATADORES RADIOPACOS CALIBRE 6, 8,10 Y 12 FR CON LONGITUD DE 20 A 24 CM. -AGUJA TIPO MITTY POLLACK CALIBRE 22 G X 22 CM DE LONGITUD Y CALIBRE 18 G X 14 CMDE LONGITUD CON ESTILETE FLEXIBLE O DOS AGUJAS. TIPO SHIBA CALIBRE 22 G X 20 A25 CM DE LONGITUD CON SU RESPECTIVA GUIA METALICA Y CALIBRE 18 G X 20 A 25 CM DELONGITUD CON ESTILETES FLEXIBLES UNO PARA CADA AGUJA. - TUBO DE DRENAJE CONCONECTOR LUER LOCK CALIBRE 14 FR X 30 CM DE LONGITUD U OTRO SISTEMA QUE PERMITALA INTRODUCCION Y EXTRACCION DEL CATETER CON SISTEMA DE FIJACION A LA PIEL.EQUIPO.</v>
          </cell>
          <cell r="U2270">
            <v>932</v>
          </cell>
          <cell r="V2270">
            <v>2328</v>
          </cell>
        </row>
        <row r="2271">
          <cell r="A2271">
            <v>2268</v>
          </cell>
          <cell r="B2271" t="str">
            <v>060.345.0230</v>
          </cell>
          <cell r="E2271" t="str">
            <v>EQUIPOS. PARA NEFROSTOMIA PERCUTANEA. CONSTA DE: - CATETER COLA DE COCHINO DEPOLIURETANO RADIOPACO CALIBRE 12 FR X 25 A 35 CM DE LONGITUD. GUIA METALICA DE0.038 " (0.965 MM) DE DIAMETRO Y 80 CM DE LONGITUD CON PUNTA DE SEGURIDAD EN J.- DILATADORES RADIOPACOS CALIBRE 6, 8, 10, 12 Y 14 FR CON LONGITUD DE 20 A 24CM. UROLOGIA. - AGUJA TIPO MITTY-POLLACK CALIBRE 22 G X 22 CM DE LONGITUD YCALIBRE 18 G X 14 CM DE LONGITUD CON ESTILETE FLEXIBLE O DOS AGUJAS. TIPO SHIBACALIBRE 22 G X 20 A 25 CM DE LONGITUD Y CALIBRE 18 G X 20 A 25 CM DE LONGITUDCON SU RESPECTIVA GUIA METALICA. TUBO DE DRENAJE CON CONECTOR LUER LOCK CALIBRE14 FR X 30 CM DE LONGITUD U OTRO SISTEMA QUE PERMITA LA INTRODUCCION YEXTRACCION DEL CATETER CON SISTEMA DE FIJACION A LA PIEL. EQUIPO.</v>
          </cell>
          <cell r="U2271">
            <v>1698</v>
          </cell>
          <cell r="V2271">
            <v>4244</v>
          </cell>
        </row>
        <row r="2272">
          <cell r="A2272">
            <v>2269</v>
          </cell>
          <cell r="B2272" t="str">
            <v>060.345.0271</v>
          </cell>
          <cell r="E2272" t="str">
            <v>EQUIPOS. PARA NEFROSTOMIA PERCUTANEA. CONSTA DE: - CATETER MALECOT DEPOLIURETANO RADIOPACO CALIBRE 12 FR X 30 A 35 CM DE LONGITUD. - GUIA METALICA DE0.038" DE DIAMETRO (0.965 MM) Y 80 CM DE LONGITUD CON PUNTA DE SEGURIDAD EN J. -DILATADORES RADIOPACOS CALIBRE 6, 8, 10, 12 Y 14 FR CON LONGITUD DE 20 A 24 CM.- AGUJA TIPO MITTY POLLACK CALIBRE 22 G X 20 A 22 CM DE LONGITUD CALIBRE 18 G X14 A 20 CM DE LONGITUD CON ESTILETE FLEXIBLE O DOS AGUJAS. TIPO SHIBA CALIBRE 22G X 20 A 25 CM DE LONGITUD Y CALIBRE 18 G X 20 A 25 CM DE LONGITUD CON SURESPECTIVA GUIA METALICA CON ESTILETES FLEXIBLES UNO POR CADA AGUJA. - TUBO DEDRENAJE CON CONECTOR LUER LOCK CALIBRE 14 FR X 30 CM DE LONGITUD U OTRO SISTEMAQUE PERMITA LA INTRODUCCION Y EXTRACCION DEL CATETER CON SISTEMA DE FIJACION ALA PIEL. EQUIPO.</v>
          </cell>
          <cell r="U2272">
            <v>2024</v>
          </cell>
          <cell r="V2272">
            <v>5058</v>
          </cell>
        </row>
        <row r="2273">
          <cell r="A2273">
            <v>2270</v>
          </cell>
          <cell r="B2273" t="str">
            <v>060.345.0289</v>
          </cell>
          <cell r="E2273" t="str">
            <v>EQUIPOS. PARA NEFROSTOMIA PERCUTANEA. CONSTA DE: - CATETER MALECOT DEPOLIURETANO RADIOPACO CALIBRE 14 FR X 30 A 35 CM DE LONGITUD. - GUIA METALICA DE0.038 " (0.965 MM.) DE DIAMETRO Y 80 CM DE LONGITUD CON PUNTA DE SEGURIDAD EN J.- DILATADORES RADIOPACOS CALIBRE 6, 8, 10, 12, 14 Y 16 FR CON LONGITUD DE 20 A24 CM. - AGUJA TIPO MITTY POLLACK CALIBRE 22 G X 20 A 22 CM DE LONGITUD YCALIBRE 18 G X 14 A 20 CM DE LONGITUD CON ESTILETE FLEXIBLE O DOS AGUJAS TIPOSHIBA CALIBRE 22 G X 20 A 25 CM DE LONGITUD CON SU RESPECTIVA GUIA METALICA YCALIBRE 18 G X 20 A 25 CM DE LONGITUD CON ESTILETES FLEXIBLES UNO POR CADAAGUJA. - TUBO DE DRENAJE CON CONECTOR LUER LOCK CALIBRE 14 FR X 30 CM DELONGITUD U OTRO SISTEMA QUE PERMITA LA INTRODUCCION Y EXTRACCION DEL CATETER CONSISTEMA DE FIJACION A LA PIEL. EQUIPO.</v>
          </cell>
          <cell r="U2273">
            <v>13652</v>
          </cell>
          <cell r="V2273">
            <v>34128</v>
          </cell>
        </row>
        <row r="2274">
          <cell r="A2274">
            <v>2271</v>
          </cell>
          <cell r="B2274" t="str">
            <v>060.345.0297</v>
          </cell>
          <cell r="E2274" t="str">
            <v>EQUIPOS. PARA NEFROSTOMIA PERCUTANEA. CONSTA DE: - CATETER COLA DE COCHINO DEPOLIURETANO RADIOPACO CALIBRE 6 FR X 7 CM DE LONGITUD. - GUIA METALICA DE 0.038PULGADAS (0.965 MM) DE DIAMETRO Y 20 CM DE LONGITUD CON PUNTA DE SEGURIDAD EN"J”. - DILATADORES RADIOPACOS CALIBRE 5, 6 Y 7 FR CON LONGITUD DE 10 CM. - DOSAGUJAS TIPO SHIBA CALIBRE 22 G X 5 CM DE LONGITUD CON SU RESPECTIVA GUIAMETALICA Y CALIBRE 18 G X 5 CM DE LONGITUD CON ESTILETES FLEXIBLES UNO POR CADAAGUJA. - TUBO DE DRENAJE CON CONECTOR LUER LOCK CALIBRE 10 FR X 10 CM DELONGITUD U OTRO SISTEMA QUE PERMITA LA INTRODUCCION Y EXTRACCION DEL CATETER CONSISTEMA DE FIJACION A LA PIEL. EQUIPO.</v>
          </cell>
          <cell r="U2274">
            <v>1064</v>
          </cell>
          <cell r="V2274">
            <v>2659</v>
          </cell>
        </row>
        <row r="2275">
          <cell r="A2275">
            <v>2272</v>
          </cell>
          <cell r="B2275" t="str">
            <v>060.345.0305</v>
          </cell>
          <cell r="E2275" t="str">
            <v>EQUIPOS. PARA MEDICION DE PRESION VENOSA CENTRAL. CONSTA DE: UNA LLAVE DE 3VIAS. UNA ESCALA PARA MEDIR EN MILIMETROS. TUBO DE CONEXION AL PACIENTE. TUBO DECONEXION AL FRASCO DE SOLUCION. TUBO PARA MEDIR LA PRESION CON INDICADORFLOTANTE. EQUIPO.</v>
          </cell>
          <cell r="U2275">
            <v>47874</v>
          </cell>
          <cell r="V2275">
            <v>119684</v>
          </cell>
        </row>
        <row r="2276">
          <cell r="A2276">
            <v>2273</v>
          </cell>
          <cell r="B2276" t="str">
            <v>060.345.0347</v>
          </cell>
          <cell r="E2276" t="str">
            <v>EQUIPOS. DE CATETERES URETERALES RADIO PACO DOBLE J CONSTA DE: GUIA METALICA DEALAMBRE AFINADO EN ESPIRAL. LONGITUD: 12 CM. CALIBRE: 4 FR. CATETER URETERAL DEPOLIURETANO. LONGITUD: 70 CM. CALIBRE: 4 FR. POSICIONADOR DE VINIL RADIOPACO DE50 CM DE LONGITUD. EQUIPO O JUEGO.</v>
          </cell>
          <cell r="U2276">
            <v>2882</v>
          </cell>
          <cell r="V2276">
            <v>7204</v>
          </cell>
        </row>
        <row r="2277">
          <cell r="A2277">
            <v>2274</v>
          </cell>
          <cell r="B2277" t="str">
            <v>060.345.0503</v>
          </cell>
          <cell r="E2277" t="str">
            <v>EQUIPOS. PARA APLICACIÓN DE VOLÚMENES MEDIOS.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v>
          </cell>
          <cell r="U2277">
            <v>4231200</v>
          </cell>
          <cell r="V2277">
            <v>10577997</v>
          </cell>
        </row>
        <row r="2278">
          <cell r="A2278">
            <v>2275</v>
          </cell>
          <cell r="B2278" t="str">
            <v>060.345.0586</v>
          </cell>
          <cell r="E2278" t="str">
            <v>Equipo para procedimientos urológicos; consta de: Catéter ureteral radiopaco doble "J" de poliuretano calibre 5 Fr. Longitud: 24 cm. Guía metálica de alambre afinado con punta recta flexible. Longitud 70 cm. Calibre 0.035" (0.089 mm) ó 0.038" (0.097 mm). Propulsor de plástico grado médico rígido radiopaco de 50 cm de longitud. Equipo o juego.</v>
          </cell>
          <cell r="U2278">
            <v>63878</v>
          </cell>
          <cell r="V2278">
            <v>159693</v>
          </cell>
        </row>
        <row r="2279">
          <cell r="A2279">
            <v>2276</v>
          </cell>
          <cell r="B2279" t="str">
            <v>060.345.0594</v>
          </cell>
          <cell r="E2279" t="str">
            <v>Equipo para procedimientos urológicos; consta de: Catéter ureteral radiopaco doble "J" de poliuretano calibre 5 Fr. Longitud: 26 cm. Guía metálica de alambre afinado con punta recta flexible. Longitud 70 cm. Calibre 0.035" (0.089 mm) ó 0.038" (0.097 mm). Propulsor de plástico grado médico rígido radiopaco de 50 cm de longitud. Equipo o juego.</v>
          </cell>
          <cell r="U2279">
            <v>4864</v>
          </cell>
          <cell r="V2279">
            <v>12159</v>
          </cell>
        </row>
        <row r="2280">
          <cell r="A2280">
            <v>2277</v>
          </cell>
          <cell r="B2280" t="str">
            <v>060.345.0743</v>
          </cell>
          <cell r="E2280" t="str">
            <v>EQUIPO PARA PROCEDIMIENTOS UROLÓGICOS; CONSTA DE: CATÉTER URETERAL RADIOPACO DOBLE "J" DE POLIURETANO Ó COPOLÍMERO OLEFÍNICO EN BLOQUE CALIBRE 6 FR. LONGITUD: 24 CM. GUÍA METÁLICA DE ALAMBRE AFINADO CON PUNTA RECTA FLEXIBLE. LONGITUD 70 CM. CALIBRE 0.035" (0.089 MM) Ó 0.038" (0.097 MM). PROPULSOR DE PLÁSTICO GRADO MÉDICO RÍGIDO RADIOPACO DE 50 CM DE LONGITUD. EQUIPO O JUEGO.</v>
          </cell>
          <cell r="U2280">
            <v>9353</v>
          </cell>
          <cell r="V2280">
            <v>23381</v>
          </cell>
        </row>
        <row r="2281">
          <cell r="A2281">
            <v>2278</v>
          </cell>
          <cell r="B2281" t="str">
            <v>060.345.0982</v>
          </cell>
          <cell r="E2281" t="str">
            <v>EQUIPOS. EQUIPO PARA PROCEDIMIENTOS UROLOGICOS; CONSTA DE: CATETER URETERALRADIOPACO DOBLE J DE POLIURETANO O COPOLIMERO OLEFINICO EN BLOQUE CALIBRE 7 FR.LONGITUD: 24 CM. GUIA METALICA DE ALAMBRE AFINADO CON PUNTA RECTA FLEXIBLE.LONGITUD 70 CM. CALIBRE 0.035 PULGADAS (0.889 MM) O 0.038 PULGADAS (0.965 MM).PROPULSOR DE PLASTICO GRADO MEDICO RIGIDO RADIOPACO DE 50 CM DE LONGITUD. EQUIPOO JUEGO.</v>
          </cell>
          <cell r="U2281">
            <v>1565</v>
          </cell>
          <cell r="V2281">
            <v>3911</v>
          </cell>
        </row>
        <row r="2282">
          <cell r="A2282">
            <v>2279</v>
          </cell>
          <cell r="B2282" t="str">
            <v>060.345.0990</v>
          </cell>
          <cell r="E2282" t="str">
            <v>Equipo para procedimientos urológicos; consta de: Catéter ureteral radiopaco doble "J" de poliuretano o copolímero olefínico en bloque calibre 7 Fr. Longitud: 26 cm. Guía metálica de alambre afinado con punta recta flexible. Longitud 70 cm. Calibre 0.035" (0.089 mm) ó 0.038" (0.097 mm). Propulsor de plástico grado médico rígido radiopaco de 50 cm de longitud. Equipo o juego.</v>
          </cell>
          <cell r="U2282">
            <v>2484</v>
          </cell>
          <cell r="V2282">
            <v>6210</v>
          </cell>
        </row>
        <row r="2283">
          <cell r="A2283">
            <v>2280</v>
          </cell>
          <cell r="B2283" t="str">
            <v>060.345.1204</v>
          </cell>
          <cell r="E2283" t="str">
            <v>RECUPERADOR INTRAVASCULAR Y COMPONENTES. TIPO: FÓRCEPS DE FILAMENTO. LONGITUD: 125 CM. CALIBRE: 5.5 FR. PIEZA.</v>
          </cell>
          <cell r="U2283">
            <v>4</v>
          </cell>
          <cell r="V2283">
            <v>6</v>
          </cell>
        </row>
        <row r="2284">
          <cell r="A2284">
            <v>2281</v>
          </cell>
          <cell r="B2284" t="str">
            <v>060.345.1212</v>
          </cell>
          <cell r="E2284" t="str">
            <v>RECUPERADOR INTRAVASCULAR Y COMPONENTES. TIPO: BASKET. LONGITUD: 110 CM. CALIBRE: 7 FR. PIEZA.</v>
          </cell>
          <cell r="U2284">
            <v>326</v>
          </cell>
          <cell r="V2284">
            <v>812</v>
          </cell>
        </row>
        <row r="2285">
          <cell r="A2285">
            <v>2282</v>
          </cell>
          <cell r="B2285" t="str">
            <v>060.345.1246</v>
          </cell>
          <cell r="E2285" t="str">
            <v>EQUIPOS. PARA PROTESIS BILIARES QUE INCLUYE: CABLE GUIA CATETER GUIA CATETERPOSICIONADOR. CALIBRE: 10 FR. PROTESIS: 5-15 CM. JUEGO.</v>
          </cell>
          <cell r="U2285">
            <v>1722</v>
          </cell>
          <cell r="V2285">
            <v>4304</v>
          </cell>
        </row>
        <row r="2286">
          <cell r="A2286">
            <v>2283</v>
          </cell>
          <cell r="B2286" t="str">
            <v>060.345.1261</v>
          </cell>
          <cell r="E2286" t="str">
            <v>Equipos. Para prótesis biliares que incluye: cable guía catéter guía catéter posicionador. Calibre: 8.5 Fr. Prótesis: 5-15 cm. Juego.</v>
          </cell>
          <cell r="U2286">
            <v>333</v>
          </cell>
          <cell r="V2286">
            <v>832</v>
          </cell>
        </row>
        <row r="2287">
          <cell r="A2287">
            <v>2284</v>
          </cell>
          <cell r="B2287" t="str">
            <v>060.345.1279</v>
          </cell>
          <cell r="E2287" t="str">
            <v>Equipos. De gastrotomía de silicón con globo en la punta de 5 a 10 ml con anillo retractor. Calibre: 18 Fr. Juego.</v>
          </cell>
          <cell r="U2287">
            <v>2026</v>
          </cell>
          <cell r="V2287">
            <v>5065</v>
          </cell>
        </row>
        <row r="2288">
          <cell r="A2288">
            <v>2285</v>
          </cell>
          <cell r="B2288" t="str">
            <v>060.345.1287</v>
          </cell>
          <cell r="E2288" t="str">
            <v>Equipos. De gastrotomía de silicón con globo en la punta de 5 a 10 ml con anillo retractor. Calibre: 20 Fr. Juego.</v>
          </cell>
          <cell r="U2288">
            <v>2795</v>
          </cell>
          <cell r="V2288">
            <v>6985</v>
          </cell>
        </row>
        <row r="2289">
          <cell r="A2289">
            <v>2286</v>
          </cell>
          <cell r="B2289" t="str">
            <v>060.345.1295</v>
          </cell>
          <cell r="E2289" t="str">
            <v>EQUIPOS. DE GASTROTOMIA DE SILICON CON GLOBO EN LA PUNTA DE 5 A 10 O 20 ML CONANILLO RETRACTOR. CALIBRE: 22 FR. JUEGO.</v>
          </cell>
          <cell r="U2289">
            <v>2492</v>
          </cell>
          <cell r="V2289">
            <v>6228</v>
          </cell>
        </row>
        <row r="2290">
          <cell r="A2290">
            <v>2287</v>
          </cell>
          <cell r="B2290" t="str">
            <v>060.345.1311</v>
          </cell>
          <cell r="E2290" t="str">
            <v>EQUIPOS. DE GASTROTOMIA DE SILICON CON GLOBO EN LA PUNTA DE 5 A 10 O 20 ML CONANILLO RETRACTOR. CALIBRE: 24 FR. JUEGO.</v>
          </cell>
          <cell r="U2290">
            <v>6870</v>
          </cell>
          <cell r="V2290">
            <v>17174</v>
          </cell>
        </row>
        <row r="2291">
          <cell r="A2291">
            <v>2288</v>
          </cell>
          <cell r="B2291" t="str">
            <v>060.345.1329</v>
          </cell>
          <cell r="E2291" t="str">
            <v>Equipos. 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v>
          </cell>
          <cell r="U2291">
            <v>1574592</v>
          </cell>
          <cell r="V2291">
            <v>3936478</v>
          </cell>
        </row>
        <row r="2292">
          <cell r="A2292">
            <v>2289</v>
          </cell>
          <cell r="B2292" t="str">
            <v>060.345.1352</v>
          </cell>
          <cell r="E2292" t="str">
            <v>Bolsas. Para alimentación enteral. De cloruro de polivinilo (PVC) de 500 ml consta de: Bolsa con asa u orificio para colgarse y una abertura con un dispositivo  que  permita  llenarla y obturarla graduaciones cada 50 ml cámara y tubo de conexión integrados con dispositivo controlador de flujo y obturador conector y protector del conector. Desechable. Equipo.</v>
          </cell>
          <cell r="U2292">
            <v>855836</v>
          </cell>
          <cell r="V2292">
            <v>2139588</v>
          </cell>
        </row>
        <row r="2293">
          <cell r="A2293">
            <v>2290</v>
          </cell>
          <cell r="B2293" t="str">
            <v>060.345.1360</v>
          </cell>
          <cell r="E2293" t="str">
            <v>EQUIPOS. PARA VENOCLISIS. EN FORMA DE MARIPOSA (PEDIATRICO) DE PLASTICO. ESTERILY DESECHABLE. CONSTA DE: TUBO ADAPTADOR Y MARIPOSA. CALIBRE DE LA AGUJA: 19 G.EQUIPO.</v>
          </cell>
          <cell r="U2293">
            <v>79080</v>
          </cell>
          <cell r="V2293">
            <v>197698</v>
          </cell>
        </row>
        <row r="2294">
          <cell r="A2294">
            <v>2291</v>
          </cell>
          <cell r="B2294" t="str">
            <v>060.345.1378</v>
          </cell>
          <cell r="E2294" t="str">
            <v>Equipos. Para venoclisis. En forma de mariposa (pediátrico) de plástico. Estéril y desechable. Consta de: tubo adaptador y mariposa. Calibre de la aguja: 21 G. Equipo.</v>
          </cell>
          <cell r="U2294">
            <v>114525</v>
          </cell>
          <cell r="V2294">
            <v>286310</v>
          </cell>
        </row>
        <row r="2295">
          <cell r="A2295">
            <v>2292</v>
          </cell>
          <cell r="B2295" t="str">
            <v>060.345.1386</v>
          </cell>
          <cell r="E2295" t="str">
            <v>Equipos. Para venoclisis. En forma de mariposa (pediátrico) de plástico. Estéril y desechable. Consta de: tubo adaptador y mariposa. Calibre de la aguja: 23 G. Equipo.</v>
          </cell>
          <cell r="U2295">
            <v>116673</v>
          </cell>
          <cell r="V2295">
            <v>291680</v>
          </cell>
        </row>
        <row r="2296">
          <cell r="A2296">
            <v>2293</v>
          </cell>
          <cell r="B2296" t="str">
            <v>060.345.1394</v>
          </cell>
          <cell r="E2296" t="str">
            <v>Equipos. Para venoclisis. En forma de mariposa (pediátrico) de plástico. Estéril y desechable. Consta de: tubo adaptador y mariposa. Calibre de la aguja: 25 G. Equipo.</v>
          </cell>
          <cell r="U2296">
            <v>91084</v>
          </cell>
          <cell r="V2296">
            <v>227708</v>
          </cell>
        </row>
        <row r="2297">
          <cell r="A2297">
            <v>2294</v>
          </cell>
          <cell r="B2297" t="str">
            <v>060.345.1436</v>
          </cell>
          <cell r="E2297" t="str">
            <v>Equipos. Regulador de flujo intravenoso para alimentación parenteral. Estéril y desechable. Equipo.</v>
          </cell>
          <cell r="U2297">
            <v>6147</v>
          </cell>
          <cell r="V2297">
            <v>15365</v>
          </cell>
        </row>
        <row r="2298">
          <cell r="A2298">
            <v>2295</v>
          </cell>
          <cell r="B2298" t="str">
            <v>060.345.1485</v>
          </cell>
          <cell r="E2298" t="str">
            <v>Equipo. Para litotripsia de vías biliares incluye: mango cable de acero canastilla de multifilamento suave estándar. Juego.</v>
          </cell>
          <cell r="U2298">
            <v>212</v>
          </cell>
          <cell r="V2298">
            <v>528</v>
          </cell>
        </row>
        <row r="2299">
          <cell r="A2299">
            <v>2296</v>
          </cell>
          <cell r="B2299" t="str">
            <v>060.345.1642</v>
          </cell>
          <cell r="E2299" t="str">
            <v>EQUIPOS. CATETER URETERAL DOBLE “J” DE MAZER, COMPUESTO POR DOS AGUJAS, DOSDILATADORES, GUIAS DE ALAMBRE, POSICIONADOR Y STENT DOBLE “J”. LONGITUD: 26 A 28CM. CALIBRE: 6 FR. JUEGO.</v>
          </cell>
          <cell r="U2299">
            <v>856</v>
          </cell>
          <cell r="V2299">
            <v>2136</v>
          </cell>
        </row>
        <row r="2300">
          <cell r="A2300">
            <v>2297</v>
          </cell>
          <cell r="B2300" t="str">
            <v>060.345.1659</v>
          </cell>
          <cell r="E2300" t="str">
            <v>Equipos. Catéter ureteral doble “J” de Mazer, para colocación anterógrada compuesto de dos Agujas., dos dilatadores, dos Guías de alambre, posicionador y stent doble “J”. Longitud: 24 cm Calibre: 6 Fr. Juego.</v>
          </cell>
          <cell r="U2300">
            <v>2268</v>
          </cell>
          <cell r="V2300">
            <v>5669</v>
          </cell>
        </row>
        <row r="2301">
          <cell r="A2301">
            <v>2298</v>
          </cell>
          <cell r="B2301" t="str">
            <v>060.345.1717</v>
          </cell>
          <cell r="E2301" t="str">
            <v>Catéter de Stamey para drenaje suprapúbico compuesto por obturador tubo conector y catéter malecot. Longitud: Calibre: 30 cm. 14 Fr. Juego.</v>
          </cell>
          <cell r="U2301">
            <v>466</v>
          </cell>
          <cell r="V2301">
            <v>1163</v>
          </cell>
        </row>
        <row r="2302">
          <cell r="A2302">
            <v>2299</v>
          </cell>
          <cell r="B2302" t="str">
            <v>060.345.1790</v>
          </cell>
          <cell r="E2302" t="str">
            <v>EQUIPOS. PARA DRENAJE NASO-BILIAR INCLUYE: CABLE GUÍA CATÉTER DE DRENAJE TUBO NASAL TUBO DE CONEXIÓN DE DRENAJE. LONGITUD: 250 CM. CALIBRE: 5 FR. JUEGO.</v>
          </cell>
          <cell r="U2302">
            <v>2</v>
          </cell>
          <cell r="V2302">
            <v>4</v>
          </cell>
        </row>
        <row r="2303">
          <cell r="A2303">
            <v>2300</v>
          </cell>
          <cell r="B2303" t="str">
            <v>060.345.1808</v>
          </cell>
          <cell r="E2303" t="str">
            <v>EQUIPOS. PARA DRENAJE NASO-BILIAR INCLUYE: CABLE GUÍA CATÉTER DE DRENAJE TUBO NASAL TUBO DE CONEXIÓN DE DRENAJE. LONGITUD:250 CM. CALIBRE: 7 FR. JUEGO.</v>
          </cell>
          <cell r="U2303">
            <v>12</v>
          </cell>
          <cell r="V2303">
            <v>27</v>
          </cell>
        </row>
        <row r="2304">
          <cell r="A2304">
            <v>2301</v>
          </cell>
          <cell r="B2304" t="str">
            <v>060.345.1865</v>
          </cell>
          <cell r="E2304" t="str">
            <v>Equipos. Para drenaje por aspiración para uso postquirúrgico. Consta de: fuelle succionador sonda conectora cinta de fijación sonda de succión multiperforada con diámetro externo de 3 mm con válvula de reflujo y válvula de activación. Equipo.</v>
          </cell>
          <cell r="U2304">
            <v>75703</v>
          </cell>
          <cell r="V2304">
            <v>189256</v>
          </cell>
        </row>
        <row r="2305">
          <cell r="A2305">
            <v>2302</v>
          </cell>
          <cell r="B2305" t="str">
            <v>060.345.1873</v>
          </cell>
          <cell r="E2305" t="str">
            <v>Equipo. Para drenaje por aspiración para uso postquirúrgico. Consta de: fuelle succionador sonda conectora cinta de fijación sonda de succión multiperforada con diámetro externo de 6 mm con válvula de reflujo y válvula de activación. Equipo.</v>
          </cell>
          <cell r="U2305">
            <v>102989</v>
          </cell>
          <cell r="V2305">
            <v>257471</v>
          </cell>
        </row>
        <row r="2306">
          <cell r="A2306">
            <v>2303</v>
          </cell>
          <cell r="B2306" t="str">
            <v>060.345.1899</v>
          </cell>
          <cell r="E2306" t="str">
            <v>Equipos. Para prótesis pancreática incluye: cable guía catéter posicionador y prótesis. Tipo: geenen. Calibre: 7 Fr. Juego.</v>
          </cell>
          <cell r="U2306">
            <v>68</v>
          </cell>
          <cell r="V2306">
            <v>168</v>
          </cell>
        </row>
        <row r="2307">
          <cell r="A2307">
            <v>2304</v>
          </cell>
          <cell r="B2307" t="str">
            <v>060.345.1915</v>
          </cell>
          <cell r="E2307" t="str">
            <v>EQUIPOS. PARA CITOLOGÍA BILIAR INCLUYE: CAMISA PARA EL CEPILLO CEPILLO CON DIÁMETRO DE 3 MM PUNTA FLEXIBLE DE 3.5 CM. LONGITUD: 200 CM. CALIBRE: 6 FR. JUEGO.</v>
          </cell>
          <cell r="U2307">
            <v>405</v>
          </cell>
          <cell r="V2307">
            <v>1011</v>
          </cell>
        </row>
        <row r="2308">
          <cell r="A2308">
            <v>2305</v>
          </cell>
          <cell r="B2308" t="str">
            <v>060.345.2012</v>
          </cell>
          <cell r="E2308" t="str">
            <v>EQUIPOS. DE LÍNEA CORTA DE TRANSFERENCIA DE 6 MESES DE DURACIÓN PARA UNIRSE AL CONECTOR CORRESPONDIENTE AL CATÉTER DEL PACIENTE. ESTÉRIL Y DESECHABLE. EQUIPO</v>
          </cell>
          <cell r="U2308">
            <v>2920</v>
          </cell>
          <cell r="V2308">
            <v>7299</v>
          </cell>
        </row>
        <row r="2309">
          <cell r="A2309">
            <v>2306</v>
          </cell>
          <cell r="B2309" t="str">
            <v>060.345.2053</v>
          </cell>
          <cell r="E2309" t="str">
            <v>ADAPTADORES. PARA UROSTOMIA. EQUIPO QUE CONSTA DE SEIS BARRERAS PROTECTORAS PARALA PIEL A BASE DE CARBOXIMETILCELULOSA SODICA CON ADHESIVO Y SISTEMA DE ARO DEENSAMBLE ENTRE 55 MM Y 70 MM DE DIAMETRO CINCO BOLSAS PARA UROSTOMIATRANSPARENTES DE PLASTICO GRADO  MEDICO  A  PRUEBA  DE  OLOR  VALVULAANTIRREFLUJO, VALVULA DE DRENAJE, UNA BOLSA RECOLECTORA DE ORINA CON CAPACIDADDE 500 A 1500 ML CON SISTEMA DE SUJECION A LA PIERNA Y COPLE CONECTOR. EQUIPO.</v>
          </cell>
          <cell r="U2309">
            <v>6448</v>
          </cell>
          <cell r="V2309">
            <v>16118</v>
          </cell>
        </row>
        <row r="2310">
          <cell r="A2310">
            <v>2307</v>
          </cell>
          <cell r="B2310" t="str">
            <v>060.345.2079</v>
          </cell>
          <cell r="E2310" t="str">
            <v>Equipos. Para  dilatación  de  válvula  mitral  incluye:  catéter  con globo de 24 mm 12 Fr longitud 70 cm elongador de balón dilatador cuerda guía estilete jeringa  y regla. Tipo: inoue. Equipo.</v>
          </cell>
          <cell r="U2310">
            <v>9</v>
          </cell>
          <cell r="V2310">
            <v>22</v>
          </cell>
        </row>
        <row r="2311">
          <cell r="A2311">
            <v>2308</v>
          </cell>
          <cell r="B2311" t="str">
            <v>060.345.2152</v>
          </cell>
          <cell r="E2311" t="str">
            <v>Equipo. Básico para bloqueo epidural contiene: Equipo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v>
          </cell>
          <cell r="U2311">
            <v>454506</v>
          </cell>
          <cell r="V2311">
            <v>1136263</v>
          </cell>
        </row>
        <row r="2312">
          <cell r="A2312">
            <v>2309</v>
          </cell>
          <cell r="B2312" t="str">
            <v>060.345.2210</v>
          </cell>
          <cell r="E2312" t="str">
            <v>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10cm x 10cm. 10 apósitos.</v>
          </cell>
          <cell r="U2312">
            <v>11</v>
          </cell>
          <cell r="V2312">
            <v>25</v>
          </cell>
        </row>
        <row r="2313">
          <cell r="A2313">
            <v>2310</v>
          </cell>
          <cell r="B2313" t="str">
            <v>060.345.2216</v>
          </cell>
          <cell r="E2313" t="str">
            <v>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5cm x 5cm. 10 apósitos.</v>
          </cell>
          <cell r="U2313">
            <v>76</v>
          </cell>
          <cell r="V2313">
            <v>186</v>
          </cell>
        </row>
        <row r="2314">
          <cell r="A2314">
            <v>2311</v>
          </cell>
          <cell r="B2314" t="str">
            <v>060.345.2251</v>
          </cell>
          <cell r="E2314" t="str">
            <v>INTRODUCTOR DE CATÉTER ARTERIAL A VENOSO CON VÁLVULA HEMOSTÁTICA PEDIÁTRICO. LONGITUD: 13 CM. CALIBRE: 4 FR. GUÍA: 0.021". EQUIPO.</v>
          </cell>
          <cell r="U2314">
            <v>7154</v>
          </cell>
          <cell r="V2314">
            <v>17883</v>
          </cell>
        </row>
        <row r="2315">
          <cell r="A2315">
            <v>2312</v>
          </cell>
          <cell r="B2315" t="str">
            <v>060.345.2301</v>
          </cell>
          <cell r="E2315" t="str">
            <v>EQUIPOS. PARA HEMODIÁLISIS DE INSERCIÓN EN SUBCLAVIA YUGULAR O FEMORAL DOBLE LUMEN INCLUYE: - UNA CÁNULA. - UNA JERINGA DE 5 ML. - UNA GUÍA DE ACERO INOXIDABLE. - UN CATÉTER DOBLE LUMEN CALIBRE DE 11 A 12 FR LONGITUD 185 A 205 MM CON OBTURADOR Y UN DILATADOR CON EXTENSIONES CURVAS. ESTÉRIL Y DESECHABLE. TIPO: MAHURKAR. ADULTO. EQUIPO.</v>
          </cell>
          <cell r="U2315">
            <v>28970</v>
          </cell>
          <cell r="V2315">
            <v>72423</v>
          </cell>
        </row>
        <row r="2316">
          <cell r="A2316">
            <v>2313</v>
          </cell>
          <cell r="B2316" t="str">
            <v>060.345.2350</v>
          </cell>
          <cell r="E2316" t="str">
            <v>EQUIPOS.PARA INTUBACION LAGRIMAL ESTERIL QUE CONTIENE: DOS SONDAS. DE ACEROINOXIDABLE DE 0.60 MM DE DIAMETRO Y 17 CM DE LONGITUD Y UN TUBO DE ELASTOMERO DESILICON DE 30 CM. EQUIPO.</v>
          </cell>
          <cell r="U2316">
            <v>2766</v>
          </cell>
          <cell r="V2316">
            <v>6912</v>
          </cell>
        </row>
        <row r="2317">
          <cell r="A2317">
            <v>2314</v>
          </cell>
          <cell r="B2317" t="str">
            <v>060.345.2467</v>
          </cell>
          <cell r="E2317" t="str">
            <v>EQUIPOS. PARA DRENAJE VENTRICULAR EXTERNO INCLUYE: - CATETER VENTRICULAR DEELASTOMERO DE SILICON RADIOPACO LONGITUD DE 20 A 40 CM. - UN ESTILETE DE ACEROINOXIDABLE PARA COLOCACION DEL CATETER VENTRICULAR. - UN TUBO DE PLASTICO CONDOS PINZAS PARA AJUSTE DE GOTEO Y CON SITIO DE INYECCION. - UNA BOLSA DERECOLECCION DE VINIL DE 500 A 700 ML GRADUADA Y CON ASA PARA COLGAR. - ESTERIL YDESECHABLE. EQUIPO.</v>
          </cell>
          <cell r="U2317">
            <v>1406</v>
          </cell>
          <cell r="V2317">
            <v>3514</v>
          </cell>
        </row>
        <row r="2318">
          <cell r="A2318">
            <v>2315</v>
          </cell>
          <cell r="B2318" t="str">
            <v>060.345.2475</v>
          </cell>
          <cell r="E2318" t="str">
            <v>EQUIPOS. PARA DRENAJE LUMBAR EXTERNO INCLUYE: - CATETER DE ELASTOMERO DE SILICONRADIOPACO CON UN RANGO DE LONGITUD DE 24 A 80 CM. - UNA AGUJA DE TUOHY. -CONECTORES DE PLASTICO PARA EL CATETER LUMBAR Y EL SISTEMA DE RECOLECCION. - UNTUBO DE PLASTICO CON CONECTOR AL CATETER LUMBAR Y A LA BOLSA CONECTORA CON DOSPINZAS PARA AJUSTE DE GOTEO Y SITIO DE INYECCION. - ESTERIL Y DESECHABLE.EQUIPO.</v>
          </cell>
          <cell r="U2318">
            <v>324</v>
          </cell>
          <cell r="V2318">
            <v>809</v>
          </cell>
        </row>
        <row r="2319">
          <cell r="A2319">
            <v>2316</v>
          </cell>
          <cell r="B2319" t="str">
            <v>060.345.2483</v>
          </cell>
          <cell r="E2319" t="str">
            <v>EQUIPOS. PARA DRENAJE VENTRICULAR Y MONITOREO DE LIQUIDO CEFALORRAQUIDEOINCLUYE: UN CATETER VENTRICULAR DE ELASTOMERO DE SILICON RADIOPACO DE 20 A 35 CMDE LONGITUD UN ESTILETE DE ACERO INOXIDABLE PARA LA COLOCACION DEL CATETER UNTROCAR CURVO DE ACERO INOXIDABLE CON PUNTA AGUDA PARA EL PASO DEL CATETERSUBCUTANEAMENTE VALVULA DE CONEXION CON CATETER DISTAL TABLA INTEGRADA DEPRESION INTRACRANEAL EN MM DE HG Y CM DE AGUA CAMARA DE GOTEO DE 50 A 75 CM CONVALVULA ANTIRREFLUJO Y TAPA PARA CONSERVAR LA ESTERILIDAD TUBO DE PLASTICO DE150 A 170 CM DE LONGITUD CON DOS PINZAS PARA AJUSTE DOS LLAVES. DE PASO DOSSITIOS PARA INYECCION UNA BOLSA DE RECOLECCION DE VINIL CON CAPACIDAD PARA 700ML CON MARCAS CADA 50 ML Y ASA PARA COLGAR AJUSTABLE A LA ALTURA DESEADA.ESTERIL Y DESECHABLE. EQUIPO.</v>
          </cell>
          <cell r="U2319">
            <v>446</v>
          </cell>
          <cell r="V2319">
            <v>1113</v>
          </cell>
        </row>
        <row r="2320">
          <cell r="A2320">
            <v>2317</v>
          </cell>
          <cell r="B2320" t="str">
            <v>060.345.3119</v>
          </cell>
          <cell r="E2320" t="str">
            <v>Sistemas. Sistema de succión cerrado para paciente con tubo endotraqueal conectado a ventilador 10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v>
          </cell>
          <cell r="U2320">
            <v>32394</v>
          </cell>
          <cell r="V2320">
            <v>80981</v>
          </cell>
        </row>
        <row r="2321">
          <cell r="A2321">
            <v>2318</v>
          </cell>
          <cell r="B2321" t="str">
            <v>060.345.3127</v>
          </cell>
          <cell r="E2321" t="str">
            <v>Sistemas. Sistema de succión cerrado para paciente con tubo endotraqueal conectado a ventilador 12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v>
          </cell>
          <cell r="U2321">
            <v>65926</v>
          </cell>
          <cell r="V2321">
            <v>164814</v>
          </cell>
        </row>
        <row r="2322">
          <cell r="A2322">
            <v>2319</v>
          </cell>
          <cell r="B2322" t="str">
            <v>060.345.3135</v>
          </cell>
          <cell r="E2322" t="str">
            <v>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v>
          </cell>
          <cell r="U2322">
            <v>183275</v>
          </cell>
          <cell r="V2322">
            <v>458186</v>
          </cell>
        </row>
        <row r="2323">
          <cell r="A2323">
            <v>2320</v>
          </cell>
          <cell r="B2323" t="str">
            <v>060.345.3143</v>
          </cell>
          <cell r="E2323" t="str">
            <v>Sistemas. Sistema de succión cerrado para paciente con tubo endotraqueal conectado a ventilador 16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v>
          </cell>
          <cell r="U2323">
            <v>241854</v>
          </cell>
          <cell r="V2323">
            <v>604634</v>
          </cell>
        </row>
        <row r="2324">
          <cell r="A2324">
            <v>2321</v>
          </cell>
          <cell r="B2324" t="str">
            <v>060.345.3176</v>
          </cell>
          <cell r="E2324" t="str">
            <v>Sistemas.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v>
          </cell>
          <cell r="U2324">
            <v>9492</v>
          </cell>
          <cell r="V2324">
            <v>23727</v>
          </cell>
        </row>
        <row r="2325">
          <cell r="A2325">
            <v>2322</v>
          </cell>
          <cell r="B2325" t="str">
            <v>060.345.3200</v>
          </cell>
          <cell r="E2325" t="str">
            <v>Equipos. Equipo introductor de prótesis biliares en un solo paso incluye catéter guía y catéter empujador de 208 cm de longitud. Estéril y desechable. Calibre: 8.5 Fr. Equipo.</v>
          </cell>
          <cell r="U2325">
            <v>1916</v>
          </cell>
          <cell r="V2325">
            <v>4789</v>
          </cell>
        </row>
        <row r="2326">
          <cell r="A2326">
            <v>2323</v>
          </cell>
          <cell r="B2326" t="str">
            <v>060.345.3218</v>
          </cell>
          <cell r="E2326" t="str">
            <v>Introductor de prótesis biliares en un solo paso incluye catéter guía y catéter empujador de 208 cm de longitud. Estéril y desechable. Calibre: 10.0 Fr. Equipo.</v>
          </cell>
          <cell r="U2326">
            <v>343</v>
          </cell>
          <cell r="V2326">
            <v>856</v>
          </cell>
        </row>
        <row r="2327">
          <cell r="A2327">
            <v>2324</v>
          </cell>
          <cell r="B2327" t="str">
            <v>060.345.3226</v>
          </cell>
          <cell r="E2327" t="str">
            <v>EQUIPOS. EQUIPO INTRODUCTOR DE PRÓTESIS BILIARES EN UN SOLO PASO INCLUYE CATÉTER GUÍA Y CATÉTER EMPUJADOR DE 208 CM DE LONGITUD. ESTÉRIL Y DESECHABLE. CALIBRE: 11.5 FR. EQUIPO.</v>
          </cell>
          <cell r="U2327">
            <v>124</v>
          </cell>
          <cell r="V2327">
            <v>308</v>
          </cell>
        </row>
        <row r="2328">
          <cell r="A2328">
            <v>2325</v>
          </cell>
          <cell r="B2328" t="str">
            <v>060.345.3259</v>
          </cell>
          <cell r="E2328" t="str">
            <v>EQUIPO DE DRENAJE NASO-BILIAR INCLUYE: CABLE GUÍA TUBO NASAL TUBO DE CONEXIÓN DE DRENAJE Y CATÉTER DE DRENAJE DE 250 CM DE LONGITUD. ESTÉRIL Y DESECHABLE. CALIBRE: 8.5 FR. EQUIPO</v>
          </cell>
          <cell r="U2328">
            <v>4</v>
          </cell>
          <cell r="V2328">
            <v>6</v>
          </cell>
        </row>
        <row r="2329">
          <cell r="A2329">
            <v>2326</v>
          </cell>
          <cell r="B2329" t="str">
            <v>060.345.3267</v>
          </cell>
          <cell r="E2329" t="str">
            <v>ESFINTEROTOMOS. ESFINTEROTOMO PARA VIAS BILIARES DE DOBLE LUMEN CALIBRE DELCATETER 6 FR CON PUNTA DISTAL DE 5 FR Y 200 CM DE LONGITUD. TIPO: CANULATOME II.ESTERIL Y DESECHABLE. CON AREA DE CORTE DE: 20 MM. PIEZA.</v>
          </cell>
          <cell r="U2329">
            <v>263</v>
          </cell>
          <cell r="V2329">
            <v>656</v>
          </cell>
        </row>
        <row r="2330">
          <cell r="A2330">
            <v>2327</v>
          </cell>
          <cell r="B2330" t="str">
            <v>060.345.3275</v>
          </cell>
          <cell r="E2330" t="str">
            <v>ESFINTEROTOMOS. ESFINTEROTOMO PARA VIAS BILIARES DE DOBLE LUMEN CALIBRE DELCATETER 6 FR CON PUNTA DISTAL DE 5 FR Y 200 CM DE LONGITUD. TIPO: CANULATOME II.ESTERIL Y DESECHABLE. CON AREA DE CORTE DE: 25 MM. PIEZA.</v>
          </cell>
          <cell r="U2330">
            <v>130</v>
          </cell>
          <cell r="V2330">
            <v>323</v>
          </cell>
        </row>
        <row r="2331">
          <cell r="A2331">
            <v>2328</v>
          </cell>
          <cell r="B2331" t="str">
            <v>060.345.3283</v>
          </cell>
          <cell r="E2331" t="str">
            <v>ESFINTEROTOMOS. ESFINTEROTOMO PARA VIAS BILIARES DE DOBLE LUMEN CALIBRE DELCATETER 6 FR CON PUNTA DISTAL DE 5 FR Y 200 CM DE LONGITUD. TIPO: CANULATOME II.ESTERIL Y DESECHABLE. CON AREA DE CORTE DE: 30 MM. PIEZA.</v>
          </cell>
          <cell r="U2331">
            <v>342</v>
          </cell>
          <cell r="V2331">
            <v>852</v>
          </cell>
        </row>
        <row r="2332">
          <cell r="A2332">
            <v>2329</v>
          </cell>
          <cell r="B2332" t="str">
            <v>060.345.3291</v>
          </cell>
          <cell r="E2332" t="str">
            <v>EQUIPO PARA DILATACIÓN DEL CONDUCTO PANCREÁTICO. INCLUYE: CATÉTER CALIBRE 5 FR Y 200 CM DE LONGITUD. CATÉTER GUÍA CALIBRE 3 FR Y GUÍA METÁLICA DE 0.018 DE PULGADA. TIPO: VENNES. EQUIPO.</v>
          </cell>
          <cell r="U2332">
            <v>4</v>
          </cell>
          <cell r="V2332">
            <v>6</v>
          </cell>
        </row>
        <row r="2333">
          <cell r="A2333">
            <v>2330</v>
          </cell>
          <cell r="B2333" t="str">
            <v>060.345.3309</v>
          </cell>
          <cell r="E2333" t="str">
            <v>EQUIPOS. EQUIPO PARA LIGAR VARICES ESOFAGICAS Y RECTALES. EQUIPO.</v>
          </cell>
          <cell r="U2333">
            <v>5221</v>
          </cell>
          <cell r="V2333">
            <v>13052</v>
          </cell>
        </row>
        <row r="2334">
          <cell r="A2334">
            <v>2331</v>
          </cell>
          <cell r="B2334" t="str">
            <v>060.345.3390</v>
          </cell>
          <cell r="E2334" t="str">
            <v>Bomba implantable para infusión de medicamentos.. Bomba implantable para infusión de medicamentos con válvula y reservorio. Consta de los siguientes elementos: Bomba implantable con válvula y reservorio de 20 a 40 mL. Multiprogramable rellenable implante abdominal definitivo para el tratamiento de dolor crónico a través de medicamentos intratecales. Con funciones programables: para bolos continuos simples y periódicos en ml o l. Con telemetría. Peso menor a 220 gr. Grosor menor a 27 mm. Alimentado con batería de cloruro de tionilo de litio con voltaje de 3.6 V nominales.</v>
          </cell>
          <cell r="U2334">
            <v>3808</v>
          </cell>
          <cell r="V2334">
            <v>9516</v>
          </cell>
        </row>
        <row r="2335">
          <cell r="A2335">
            <v>2332</v>
          </cell>
          <cell r="B2335" t="str">
            <v>060.345.3424</v>
          </cell>
          <cell r="E2335" t="str">
            <v>Equipos. Equipo para anestesia epidural contiene: -Aguja modelo tuohy calibre 17 G, longitud 75-91 mm. - Sujetador filtrante de 0.2 micras con o sin actuador deslizable para introducir y oprimir el catéter o filtro epidural de 0.2 micras y un adaptador luer-lock para catéter con tapón de seguridad. - Catéter epidural, calibre 19 G, longitud 900 a 1050 mm, radiopaco, punta roma, orificios laterales, con adaptador luer macho. - 3 agujas hipodérmicas: -Una calibre 18 ó 19 G x 38 mm. -Una calibre 25 G x 16 mm y -Una calibre 21 ó 22 G x 38 mm. Jeringa para técnica de pérdida de resistencia de 7 ó 10 ml. -Jeringa de 3 ó 5 ml. -Jeringa de 20 ml. -4 gasas secas de 10 x 10 cm. - Solución de iodopovidona, 30 a 40 ml. -3 aplicadores. - Charola para antiséptico. -Campo hendido. Campo de trabajo.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v>
          </cell>
          <cell r="U2335">
            <v>317402</v>
          </cell>
          <cell r="V2335">
            <v>793503</v>
          </cell>
        </row>
        <row r="2336">
          <cell r="A2336">
            <v>2333</v>
          </cell>
          <cell r="B2336" t="str">
            <v>060.345.3457</v>
          </cell>
          <cell r="E2336" t="str">
            <v>EQUIPOS. EQUIPO INTRODUCTOR DE CATETER ARTERIAL Y VENOSO. CONTIENE: CAMISA DEPOLITETRAFLUORETILENO CON VALVULA HEMOSTATICA Y EXTENSION LATERAL DILATADOR YGUIA CORTA CALIBRE 0.038 PULGADAS Y LONGITUD DE 11 A 14 CM. ESTERIL YDESECHABLE. CALIBRE: 4 FR. EQUIPO.</v>
          </cell>
          <cell r="U2336">
            <v>2989</v>
          </cell>
          <cell r="V2336">
            <v>7472</v>
          </cell>
        </row>
        <row r="2337">
          <cell r="A2337">
            <v>2334</v>
          </cell>
          <cell r="B2337" t="str">
            <v>060.345.3465</v>
          </cell>
          <cell r="E2337" t="str">
            <v>Introductor de catéter arterial y venoso. Contiene: Camisa de politetrafluoretileno con válvula hemostática y extensión lateral dilatador y guía corta calibre 0.038 " y longitud de 11 a 14 cm. Estéril y desechable. Calibre: 5 Fr. Equipo.</v>
          </cell>
          <cell r="U2337">
            <v>1432</v>
          </cell>
          <cell r="V2337">
            <v>3577</v>
          </cell>
        </row>
        <row r="2338">
          <cell r="A2338">
            <v>2335</v>
          </cell>
          <cell r="B2338" t="str">
            <v>060.345.3473</v>
          </cell>
          <cell r="E2338" t="str">
            <v>Introductor de catéter arterial y venoso. Contiene: Camisa de politetrafluoretileno con válvula hemostática y extensión lateral dilatador y guía corta calibre 0.038" y longitud de 11 a 14 cm. Estéril y desechable. Calibre: 6 Fr. Equipo.</v>
          </cell>
          <cell r="U2338">
            <v>798</v>
          </cell>
          <cell r="V2338">
            <v>1993</v>
          </cell>
        </row>
        <row r="2339">
          <cell r="A2339">
            <v>2336</v>
          </cell>
          <cell r="B2339" t="str">
            <v>060.345.3481</v>
          </cell>
          <cell r="E2339" t="str">
            <v>Introductor de catéter arterial y venoso. Contiene: Camisa de politetrafluoretileno con válvula hemostática y extensión lateral dilatador y guía corta calibre 0.038" y longitud de 11 a 14 cm. Estéril y desechable. Calibre: 7 Fr. Equipo.</v>
          </cell>
          <cell r="U2339">
            <v>2401</v>
          </cell>
          <cell r="V2339">
            <v>6002</v>
          </cell>
        </row>
        <row r="2340">
          <cell r="A2340">
            <v>2337</v>
          </cell>
          <cell r="B2340" t="str">
            <v>060.345.3499</v>
          </cell>
          <cell r="E2340" t="str">
            <v>Introductor de catéter arterial y venoso. Contiene: Camisa de politetrafluoretileno con válvula hemostática y extensión lateral dilatador y guía corta calibre 0.038" y longitud de 11 a 14 cm. Estéril y desechable. Calibre: 8 Fr. Equipo.</v>
          </cell>
          <cell r="U2340">
            <v>340</v>
          </cell>
          <cell r="V2340">
            <v>848</v>
          </cell>
        </row>
        <row r="2341">
          <cell r="A2341">
            <v>2338</v>
          </cell>
          <cell r="B2341" t="str">
            <v>060.345.3507</v>
          </cell>
          <cell r="E2341" t="str">
            <v>EQUIPOS. EQUIPO INTRODUCTOR DE CATETER ARTERIAL Y VENOSO. CONTIENE: CAMISA DEPOLITETRAFLUORETILENO CON VALVULA HEMOSTATICA Y EXTENSION LATERAL DILATADOR YGUIA CORTA CALIBRE 0.038 PULGADAS Y LONGITUD DE 11 A 14 CM. ESTERIL YDESECHABLE. CALIBRE: 9 FR. EQUIPO.</v>
          </cell>
          <cell r="U2341">
            <v>296</v>
          </cell>
          <cell r="V2341">
            <v>740</v>
          </cell>
        </row>
        <row r="2342">
          <cell r="A2342">
            <v>2339</v>
          </cell>
          <cell r="B2342" t="str">
            <v>060.345.3515</v>
          </cell>
          <cell r="E2342" t="str">
            <v>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4 FR X 30 A 35 CM DE LONGITUD. EQUIPO.</v>
          </cell>
          <cell r="U2342">
            <v>382</v>
          </cell>
          <cell r="V2342">
            <v>953</v>
          </cell>
        </row>
        <row r="2343">
          <cell r="A2343">
            <v>2340</v>
          </cell>
          <cell r="B2343" t="str">
            <v>060.345.3523</v>
          </cell>
          <cell r="E2343" t="str">
            <v>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5 FR X 30 A 35 CM DE LONGITUD. EQUIPO.</v>
          </cell>
          <cell r="U2343">
            <v>554</v>
          </cell>
          <cell r="V2343">
            <v>1384</v>
          </cell>
        </row>
        <row r="2344">
          <cell r="A2344">
            <v>2341</v>
          </cell>
          <cell r="B2344" t="str">
            <v>060.345.3549</v>
          </cell>
          <cell r="E2344" t="str">
            <v>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7 FR X 30 A 35 CM DE LONGITUD. EQUIPO.</v>
          </cell>
          <cell r="U2344">
            <v>590</v>
          </cell>
          <cell r="V2344">
            <v>1472</v>
          </cell>
        </row>
        <row r="2345">
          <cell r="A2345">
            <v>2342</v>
          </cell>
          <cell r="B2345" t="str">
            <v>060.345.3556</v>
          </cell>
          <cell r="E2345" t="str">
            <v>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8 FR X 30 A 35 CM DE LONGITUD. EQUIPO.</v>
          </cell>
          <cell r="U2345">
            <v>631</v>
          </cell>
          <cell r="V2345">
            <v>1574</v>
          </cell>
        </row>
        <row r="2346">
          <cell r="A2346">
            <v>2343</v>
          </cell>
          <cell r="B2346" t="str">
            <v>060.345.3655</v>
          </cell>
          <cell r="E2346" t="str">
            <v>EQUIPOS: EQUIPO PARA NEFROSTOMIA PERCUTANEA CONSTA DE: - GUIA METALICA DE 0.038"(0.97 MM) DE DIAMETRO Y 80 CM DE LONGITUD CON PUNTA DE SEGURIDAD EN J. -DILATADORES RADIOPACOS CALIBRES 3, 4, 5, 6, 8, 10 Y 12 FR CON LONGITUD DE 20 A24 CM. - AGUJA MITTY POLLACK CALIBRE 22 G X 22 CM DE LONGITUD Y CALIBRE 18 G X14 CM DE LONGITUD CON ESTILETE FLEXIBLE O DOS AGUJAS TIPO SHIBA CALIBRE 22 G X20 A 25 CM DE LONGITUD CON SU RESPECTIVA GUIA METALICA Y CALIBRE 18 G X 20 A 25CM DE LONGITUD CON ESTILETES FLEXIBLES. UNO PARA CADA AGUJA. - TUBO DE DRENAJECALIBRE 14 FR X 30 CM DE LONGITUD CON CONECTOR LUER LOCK U OTRO SISTEMA QUEPERMITA LA INTRODUCCION Y EXTRACCION DEL CATETER CON SISTEMA DE FIJACION A LAPIEL. ESTERIL Y DESECHABLE. - CATETER COLA DE COCHINO DE POLIURETANO RADIOPACOCALIBRE: 5 FR X 30 A 35 CM DE LONGITUD. EQUIPO.</v>
          </cell>
          <cell r="U2346">
            <v>404</v>
          </cell>
          <cell r="V2346">
            <v>1009</v>
          </cell>
        </row>
        <row r="2347">
          <cell r="A2347">
            <v>2344</v>
          </cell>
          <cell r="B2347" t="str">
            <v>060.345.3689</v>
          </cell>
          <cell r="E2347" t="str">
            <v>EQUIPOS. EQUIPO PARA NEFROSTOMIA PERCUTANEA CONSTA DE: - GUIA METALICA DE 0.038"(0.97 MM) DE DIAMETRO Y 80 CM DE LONGITUD CON PUNTA DE SEGURIDAD EN J. -DILATADORES RADIOPACOS CALIBRES 3, 4, 5, 6, 8, 10 Y 12 FR CON LONGITUD DE 20 A24 CM. - AGUJA MITTY POLLACK CALIBRE 22 G X 22 CM DE LONGITUD Y CALIBRE 18 G X14 CM DE LONGITUD CON ESTILETE FLEXIBLE O DOS AGUJAS TIPO SHIBA CALIBRE 22 G X20 A 25 CM DE LONGITUD CON SU RESPECTIVA GUIA METALICA Y CALIBRE 18 G X 20 A 25CM DE LONGITUD CON ESTILETES FLEXIBLES. UNO PARA CADA AGUJA. - TUBO DE DRENAJECALIBRE 14 FR X 30 CM DE LONGITUD CON CONECTOR LUER LOCK U OTRO SISTEMA QUEPERMITA LA INTRODUCCION Y EXTRACCION DEL CATETER CON SISTEMA DE FIJACION A LAPIEL. ESTERIL Y DESECHABLE. - CATETER COLA DE COCHINO DE POLIURETANO RADIOPACOCALIBRE: 8 FR X 30 A 35 CM DE LONGITUD. EQUIPO.</v>
          </cell>
          <cell r="U2347">
            <v>296</v>
          </cell>
          <cell r="V2347">
            <v>740</v>
          </cell>
        </row>
        <row r="2348">
          <cell r="A2348">
            <v>2345</v>
          </cell>
          <cell r="B2348" t="str">
            <v>060.345.3713</v>
          </cell>
          <cell r="E2348" t="str">
            <v>EQUIPOS. EQUIPO RECUPERADOR INTRAVASCULAR DE ASA CONSTA DE CATETER Y GUIAMETALICA CON PUNTA EN ASA. LONGITUD TOTAL DEL SISTEMA 150 CM. ESTERIL YDESECHABLE. CALIBRE DEL CATETER: 5 FR. CALIBRE GUIA METALICA: 0.035 PULGADASPUNTA EN ASA: 20 MM. EQUIPO.</v>
          </cell>
          <cell r="U2348">
            <v>226</v>
          </cell>
          <cell r="V2348">
            <v>563</v>
          </cell>
        </row>
        <row r="2349">
          <cell r="A2349">
            <v>2346</v>
          </cell>
          <cell r="B2349" t="str">
            <v>060.345.3739</v>
          </cell>
          <cell r="E2349" t="str">
            <v>EQUIPO. PARA GASTROSTOMIA PERCUTANEA, DE ELASTOMERO DE SILICON. CONTIENE: BOTONCON DISPOSITIVO DE RETENCION Y OBTURADOR O VALVULA ANTI-REFLUJO, RADIOPACO.INCLUYE ACCESORIOS PARA SU COLOCACION. ESTERIL. LA LONGITUD LA SELECCIONARA CADAINSTITUCION, DE ACUERDO A SUS NECESIDADES. CALIBRE: 14 FR. EQUIPO.</v>
          </cell>
          <cell r="U2349">
            <v>762</v>
          </cell>
          <cell r="V2349">
            <v>1904</v>
          </cell>
        </row>
        <row r="2350">
          <cell r="A2350">
            <v>2347</v>
          </cell>
          <cell r="B2350" t="str">
            <v>060.345.3747</v>
          </cell>
          <cell r="E2350" t="str">
            <v>EQUIPO. PARA GASTROSTOMIA PERCUTANEA, DE ELASTOMERO DE SILICON. CONTIENE: BOTONCON DISPOSITIVO DE RETENCION Y OBTURADOR O VALVULA ANTI-REFLUJO, RADIOPACO.INCLUYE ACCESORIOS PARA SU COLOCACION. ESTERIL. LA LONGITUD LA SELECCIONARA CADAINSTITUCION, DE ACUERDO A SUS NECESIDADES. CALIBRE: 16 FR. EQUIPO.</v>
          </cell>
          <cell r="U2350">
            <v>460</v>
          </cell>
          <cell r="V2350">
            <v>1146</v>
          </cell>
        </row>
        <row r="2351">
          <cell r="A2351">
            <v>2348</v>
          </cell>
          <cell r="B2351" t="str">
            <v>060.345.3754</v>
          </cell>
          <cell r="E2351" t="str">
            <v>EQUIPOS. PARA GASTROTOMÍA PERCUTÁNEA DE ELASTÓMERO DE SILICÓN. CONTIENE: BOTÓN CON DISPOSITIVO DE RETENCIÓN Y OBTURADOR RADIOPACO. INCLUYE ACCESORIOS PARA SU COLOCACIÓN. ESTÉRIL. LA LONGITUD LA SELECCIONARÁ CADA INSTITUCIÓN DE ACUERDO A SUS NECESIDADES. 18 FR. EQUIPO.</v>
          </cell>
          <cell r="U2351">
            <v>446</v>
          </cell>
          <cell r="V2351">
            <v>1112</v>
          </cell>
        </row>
        <row r="2352">
          <cell r="A2352">
            <v>2349</v>
          </cell>
          <cell r="B2352" t="str">
            <v>060.345.3762</v>
          </cell>
          <cell r="E2352" t="str">
            <v>EQUIPOS. PARA GASTROTOMÍA PERCUTÁNEA DE ELASTÓMERO DE SILICÓN. CONTIENE: BOTÓN CON DISPOSITIVO DE RETENCIÓN Y OBTURADOR RADIOPACO. INCLUYE ACCESORIOS PARA SU COLOCACIÓN. ESTÉRIL. LA LONGITUD LA SELECCIONARÁ CADA INSTITUCIÓN DE ACUERDO A SUS NECESIDADES. 20 FR. EQUIPO</v>
          </cell>
          <cell r="U2352">
            <v>484</v>
          </cell>
          <cell r="V2352">
            <v>1207</v>
          </cell>
        </row>
        <row r="2353">
          <cell r="A2353">
            <v>2350</v>
          </cell>
          <cell r="B2353" t="str">
            <v>060.345.3770</v>
          </cell>
          <cell r="E2353" t="str">
            <v>EQUIPO. PARA GASTROSTOMIA PERCUTANEA, DE ELASTOMERO DE SILICON. CONTIENE: BOTONCON DISPOSITIVO DE RETENCION Y OBTURADOR O VALVULA ANTI-REFLUJO, RADIOPACO.INCLUYE ACCESORIOS PARA SU COLOCACION. ESTERIL. LA LONGITUD LA SELECCIONARA CADAINSTITUCION, DE ACUERDO A SUS NECESIDADES. CALIBRE: 24 FR. EQUIPO.</v>
          </cell>
          <cell r="U2353">
            <v>636</v>
          </cell>
          <cell r="V2353">
            <v>1587</v>
          </cell>
        </row>
        <row r="2354">
          <cell r="A2354">
            <v>2351</v>
          </cell>
          <cell r="B2354" t="str">
            <v>060.345.3788</v>
          </cell>
          <cell r="E2354" t="str">
            <v>Equipo. Equipo para Anestesia mixta Epidural/Subdural. Contiene:Equipo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v>
          </cell>
          <cell r="U2354">
            <v>522874</v>
          </cell>
          <cell r="V2354">
            <v>1307182</v>
          </cell>
        </row>
        <row r="2355">
          <cell r="A2355">
            <v>2352</v>
          </cell>
          <cell r="B2355" t="str">
            <v>060.345.3798</v>
          </cell>
          <cell r="E2355" t="str">
            <v>EQUIPO DE BLOQUEO PERIDURAL PEDIATRICO CAL. 20G</v>
          </cell>
          <cell r="U2355">
            <v>20252</v>
          </cell>
          <cell r="V2355">
            <v>50627</v>
          </cell>
        </row>
        <row r="2356">
          <cell r="A2356">
            <v>2353</v>
          </cell>
          <cell r="B2356" t="str">
            <v>060.345.4067</v>
          </cell>
          <cell r="E2356" t="str">
            <v>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v>
          </cell>
          <cell r="U2356">
            <v>1066583</v>
          </cell>
          <cell r="V2356">
            <v>2666455</v>
          </cell>
        </row>
        <row r="2357">
          <cell r="A2357">
            <v>2354</v>
          </cell>
          <cell r="B2357" t="str">
            <v>060.345.4109</v>
          </cell>
          <cell r="E2357" t="str">
            <v>EQUIPOS. EQUIPO PARA PROCEDIMIENTOS UROLOGICOS; CONSTA DE: CATETER URETERALRADIOPACO DOBLE J DE POLIURETANO O COPOLIMERO OLEOFINICO EN BLOQUE, CALIBRE 4.8FR. LONGITUD: 16 CM. GUIA METALICA DE ALAMBRE AFINADO CON PUNTA RECTA FLEXIBLE.LONGITUD 70 CM. CALIBRE 0.035" (0.889 MM) O 0.038" (0.965 MM). PROPULSOR DEPLASTICO GRADO MEDICO RIGIDO RADIOPACO DE 50 CM DE LONGITUD. EQUIPO O JUEGO.</v>
          </cell>
          <cell r="U2357">
            <v>106</v>
          </cell>
          <cell r="V2357">
            <v>264</v>
          </cell>
        </row>
        <row r="2358">
          <cell r="A2358">
            <v>2355</v>
          </cell>
          <cell r="B2358" t="str">
            <v>060.345.4190</v>
          </cell>
          <cell r="E2358" t="str">
            <v>EQUIPOS. EQUIPO PARA PROCEDIMIENTOS UROLOGICOS; CONSTA DE: CATETER URETERALRADIOPACO DOBLE J DE POLIURETANO CALIBRE 5 FR. LONGITUD: 20 CM. GUIA METALICA DEALAMBRE AFINADO CON PUNTA RECTA FLEXIBLE. LONGITUD 70 CM. CALIBRE 0.035" (0.889MM) O 0.038" (0.965 MM). PROPULSOR DE PLASTICO GRADO MEDICO RIGIDO RADIOPACO DE50 CM DE LONGITUD. EQUIPO O JUEGO.</v>
          </cell>
          <cell r="U2358">
            <v>294</v>
          </cell>
          <cell r="V2358">
            <v>732</v>
          </cell>
        </row>
        <row r="2359">
          <cell r="A2359">
            <v>2356</v>
          </cell>
          <cell r="B2359" t="str">
            <v>060.345.4208</v>
          </cell>
          <cell r="E2359" t="str">
            <v>EQUIPOS. EQUIPO PARA PROCEDIMIENTOS UROLOGICOS; CONSTA DE: CATETER URETERALRADIOPACO DOBLE J DE POLIURETANO CALIBRE 5 FR. LONGITUD: 22 CM. GUIA METALICA DEALAMBRE AFINADO CON PUNTA RECTA FLEXIBLE. LONGITUD 70 CM. CALIBRE 0.035" (0.889MM) O 0.038" (0.965 MM). PROPULSOR DE PLASTICO GRADO MEDICO RIGIDO RADIOPACO DE50 CM DE LONGITUD. EQUIPO O JUEGO.</v>
          </cell>
          <cell r="U2359">
            <v>273</v>
          </cell>
          <cell r="V2359">
            <v>680</v>
          </cell>
        </row>
        <row r="2360">
          <cell r="A2360">
            <v>2357</v>
          </cell>
          <cell r="B2360" t="str">
            <v>060.345.4257</v>
          </cell>
          <cell r="E2360" t="str">
            <v>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v>
          </cell>
          <cell r="U2360">
            <v>4722</v>
          </cell>
          <cell r="V2360">
            <v>11804</v>
          </cell>
        </row>
        <row r="2361">
          <cell r="A2361">
            <v>2358</v>
          </cell>
          <cell r="B2361" t="str">
            <v>060.345.4265</v>
          </cell>
          <cell r="E2361" t="str">
            <v>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60 gotas/ml.</v>
          </cell>
          <cell r="U2361">
            <v>96460</v>
          </cell>
          <cell r="V2361">
            <v>241150</v>
          </cell>
        </row>
        <row r="2362">
          <cell r="A2362">
            <v>2359</v>
          </cell>
          <cell r="B2362" t="str">
            <v>060.345.4273</v>
          </cell>
          <cell r="E2362" t="str">
            <v>Equipo. Equipo para anestesia epidural para pacientes obesos. Consta de: 1 Aguja modelo Tuohy calibre 17G longitud 12.7 cm. 1 Sujetador Filtrante de 0.2 micras consta de: Un conector Luer para aplicar anestésicos.Un conector con actuador deslizable para introducir y oprimir el catéter. Una lámina filtrante de 0.2 micras. Un tapón Luer macho. 1 Catéter epidural radiopaco para pacientes obesos calibre 19G longitud 900 a 1050mm con punta roma con orificios laterales y adaptador Luer macho. 1 Jeringa de plástico 20 ml. 1 Jeringa de plástico 5ml. 1 Localizador de Espacio Epidural el cual consta de: Un cuerpo principal con un conector para acoplar una aguja Espinal. Un sistema detector de pérdida o caída de presión en el espacio epidural. Una señal luminosa indicadora de detección del espacio epidural.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v>
          </cell>
          <cell r="U2362">
            <v>4354</v>
          </cell>
          <cell r="V2362">
            <v>10882</v>
          </cell>
        </row>
        <row r="2363">
          <cell r="A2363">
            <v>2360</v>
          </cell>
          <cell r="B2363" t="str">
            <v>060.345.4281</v>
          </cell>
          <cell r="E2363" t="str">
            <v>Equipo. Equipo para anestesia mixta epidural/subdural para pacientes obesos. Consta de:1 Aguja modelo Tuohy calibre 17G, Longitud 110-130 mm. Aguja Whitacre 27G (punta de lápiz) con depósito detector de líquido cefalorraquídeo de 0.05 a 0.1 mL, longitud 14.6–16.6 cm. 1 Jeringa de plástico de 7 o 10 mL, con pivote Luer macho y cuerpo siliconizado, para técnica de pérdida de resistencia. 1 Sujetador filtrante de 0.2 micras, consta de: -Un conector Luer para aplicar anestésicos. -Un conector con actuador deslizable para introducir y oprimir el catéter. -Una lámina filtrante de 0.2 micras. -Un tapón Luer macho. 1 Catéter epidural para pacientes obesos, calibre 19G, longitud 900 a 1050 mm, radiopaco, punta roma, orificios laterales y adaptador Luer Macho. 1 Jeringa de plástico 20 ml. 1 Jeringa de plástico 10 ml. 1 Jeringa de plástico 3 ml. 1 Localizador de espacio epidural el cual consta de: Un cuerpo principal con un conector para acoplar una aguja espinal. Un sistema detector de pérdida o caída de presión en el espacio epidural. Una señal luminosa indicadora de detección del espacio epidural. 1 Fijador para Catéter Epidural, atóxico contiene: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v>
          </cell>
          <cell r="U2363">
            <v>71862</v>
          </cell>
          <cell r="V2363">
            <v>179653</v>
          </cell>
        </row>
        <row r="2364">
          <cell r="A2364">
            <v>2361</v>
          </cell>
          <cell r="B2364" t="str">
            <v>060.345.4299</v>
          </cell>
          <cell r="E2364" t="str">
            <v>Equipo. Equipo para anestesia general. Consta de: 1 Mascarilla para anestesia para Adulto con colchón inflable. 1 Bolsa de respiración de 3 Litros diámetro interno de 22 mm. 1 Llave de tres vías con tubo de extensión de 80 cm. 1 Circuito respiratorio consta de: Dos mangueras de 180 cm. Filtro de 0.2 micras. Conexión "codo Y" con sistema detector de desacople compuesto por una señal luminosa y otra audible que indica el desacople entre los conectores del "Codo Y" y la cánula endotraqueal el "Codo Y" contiene un sello interno para evitar fugas entre los conectores del "Codo Y" y la cánula endotraqueal. 5 Electrodos ECG para adulto con broche estándar. 1 Par Guantes. de látex medianos. 1 Sujetador de cánula con guía para sonda gástrica consta de: Una pieza hembra dentada para recibir una pieza macho dentada. Una pieza macho dentada para sostener la cánula mediante un ajuste graduado a la pieza hembra. Una banda para sostener alrededor de la cabeza del paciente el sujetador de cánula. 1 Campo trabajo de 50 x 66 cm. 1 Jeringa de plástico 20 ml. 3 Jeringas. de plástico 10 ml. 4 Agujas. Hipodérmicas 21G x 38 mm.1 Cánula tipo Yankauer atraumática con control. 1 Cánula orofaríngea de plástico tipo Guedel No. 4 Long. 90 mm.1 Hoja para Laringoscopio Mc Intoch No. 3 adulto con iluminación. Estéril y Desechable.</v>
          </cell>
          <cell r="U2364">
            <v>8840</v>
          </cell>
          <cell r="V2364">
            <v>22097</v>
          </cell>
        </row>
        <row r="2365">
          <cell r="A2365">
            <v>2362</v>
          </cell>
          <cell r="B2365" t="str">
            <v>060.345.4307</v>
          </cell>
          <cell r="E2365" t="str">
            <v>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2 lúmenes, calibre 7 Fr x 20 cm set.</v>
          </cell>
          <cell r="U2365">
            <v>1960</v>
          </cell>
          <cell r="V2365">
            <v>4900</v>
          </cell>
        </row>
        <row r="2366">
          <cell r="A2366">
            <v>2363</v>
          </cell>
          <cell r="B2366" t="str">
            <v>060.345.4315</v>
          </cell>
          <cell r="E2366" t="str">
            <v>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3 lúmenes, calibre 7 Fr x 20 cm set.</v>
          </cell>
          <cell r="U2366">
            <v>4257</v>
          </cell>
          <cell r="V2366">
            <v>10642</v>
          </cell>
        </row>
        <row r="2367">
          <cell r="A2367">
            <v>2364</v>
          </cell>
          <cell r="B2367" t="str">
            <v>060.345.4331</v>
          </cell>
          <cell r="E2367" t="str">
            <v>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4 lúmenes, calibre 8.5 Fr x 20 cm set.</v>
          </cell>
          <cell r="U2367">
            <v>1152</v>
          </cell>
          <cell r="V2367">
            <v>2880</v>
          </cell>
        </row>
        <row r="2368">
          <cell r="A2368">
            <v>2365</v>
          </cell>
          <cell r="B2368" t="str">
            <v>060.346.0015</v>
          </cell>
          <cell r="E2368" t="str">
            <v>ESFINTEROTOMOS. ESFINTEROTOMO PARA VIAS BILIARES DE TRIPLE LUMEN CALIBRE DELCATETER 5.5 A 7 FR CON PUNTA DISTAL CORTA O LARGA DE 5 MM O 20 MM Y 200 CM DELONGITUD. ESTERIL Y DESECHABLE. CON AREA DE CORTE DE: 20 A 25 MM. PIEZA.</v>
          </cell>
          <cell r="U2368">
            <v>762</v>
          </cell>
          <cell r="V2368">
            <v>1905</v>
          </cell>
        </row>
        <row r="2369">
          <cell r="A2369">
            <v>2366</v>
          </cell>
          <cell r="B2369" t="str">
            <v>060.346.0023</v>
          </cell>
          <cell r="E2369" t="str">
            <v>ESFINTEROTOMOS. ESFINTEROTOMO PARA VIAS BILIARES DE TRIPLE LUMEN, CALIBRE DELCATETER 5.5 A 7 FR CON PUNTA DISTAL CORTA O LARGA DE 5 MM O 20 MM Y 200 CM DELONGITUD. ESTERIL Y DESECHABLE. CON AREA DE CORTE DE: 30 MM. PIEZA.</v>
          </cell>
          <cell r="U2369">
            <v>644</v>
          </cell>
          <cell r="V2369">
            <v>1609</v>
          </cell>
        </row>
        <row r="2370">
          <cell r="A2370">
            <v>2367</v>
          </cell>
          <cell r="B2370" t="str">
            <v>060.346.0031</v>
          </cell>
          <cell r="E2370" t="str">
            <v>Esfinterotomos. Esfinterotomo para vías biliares de precorte con punta distal recta o en forma de "J" calibre del catéter 6 - 7 Fr con punta distal de 4.5 Fr y 200 cm de longitud que acepta guía de 0.035" . Estéril y desechable. Con área de corte de 4 - 6 mm.</v>
          </cell>
          <cell r="U2370">
            <v>452</v>
          </cell>
          <cell r="V2370">
            <v>1130</v>
          </cell>
        </row>
        <row r="2371">
          <cell r="A2371">
            <v>2368</v>
          </cell>
          <cell r="B2371" t="str">
            <v>060.352.0032</v>
          </cell>
          <cell r="E2371" t="str">
            <v>IMPLANTES. ESFERA DE METILMETACRILATO PARA OJO. DIAMETRO 20 MM.</v>
          </cell>
          <cell r="U2371">
            <v>5954</v>
          </cell>
          <cell r="V2371">
            <v>14884</v>
          </cell>
        </row>
        <row r="2372">
          <cell r="A2372">
            <v>2369</v>
          </cell>
          <cell r="B2372" t="str">
            <v>060.352.0073</v>
          </cell>
          <cell r="E2372" t="str">
            <v>IMPLANTES. ESFERA DE METILMETACRILATO PARA OJO. DIAMETROS 14 MM. PIEZA.</v>
          </cell>
          <cell r="U2372">
            <v>154</v>
          </cell>
          <cell r="V2372">
            <v>383</v>
          </cell>
        </row>
        <row r="2373">
          <cell r="A2373">
            <v>2370</v>
          </cell>
          <cell r="B2373" t="str">
            <v>060.352.0081</v>
          </cell>
          <cell r="E2373" t="str">
            <v>IMPLANTES. ESFERA DE METILMETACRILATO PARA OJO. DIAMETRO 16 MM.</v>
          </cell>
          <cell r="U2373">
            <v>244</v>
          </cell>
          <cell r="V2373">
            <v>610</v>
          </cell>
        </row>
        <row r="2374">
          <cell r="A2374">
            <v>2371</v>
          </cell>
          <cell r="B2374" t="str">
            <v>060.352.0099</v>
          </cell>
          <cell r="E2374" t="str">
            <v>IMPLANTES. ESFERA DE METILMETACRILATO PARA OJO. DIAMETRO 18 MM.</v>
          </cell>
          <cell r="U2374">
            <v>354</v>
          </cell>
          <cell r="V2374">
            <v>883</v>
          </cell>
        </row>
        <row r="2375">
          <cell r="A2375">
            <v>2372</v>
          </cell>
          <cell r="B2375" t="str">
            <v>060.354.0014</v>
          </cell>
          <cell r="E2375" t="str">
            <v>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v>
          </cell>
          <cell r="U2375">
            <v>52651</v>
          </cell>
          <cell r="V2375">
            <v>131625</v>
          </cell>
        </row>
        <row r="2376">
          <cell r="A2376">
            <v>2373</v>
          </cell>
          <cell r="B2376" t="str">
            <v>060.360.0032</v>
          </cell>
          <cell r="E2376" t="str">
            <v>Espejo. Vaginal desechable mediano valva superior de 10.7 cm valva inferior de 12.0 cm orificio central de 3.4 cm. Pieza.</v>
          </cell>
          <cell r="U2376">
            <v>11699172</v>
          </cell>
          <cell r="V2376">
            <v>29247928</v>
          </cell>
        </row>
        <row r="2377">
          <cell r="A2377">
            <v>2374</v>
          </cell>
          <cell r="B2377" t="str">
            <v>060.365.1290</v>
          </cell>
          <cell r="E2377" t="str">
            <v>ESPIRALES. ESPIRALES HELICOIDALES DE LIBERACION MECANICA O HIDRAULICA PARAEMBOLIZACION ENDOVASCULAR. ESTERIL Y DESECHABLE. LONGITUD: 2 CM CALIBRE: 0.018".HELICE: 2 MM. PIEZA.</v>
          </cell>
          <cell r="U2377">
            <v>3296</v>
          </cell>
          <cell r="V2377">
            <v>8238</v>
          </cell>
        </row>
        <row r="2378">
          <cell r="A2378">
            <v>2375</v>
          </cell>
          <cell r="B2378" t="str">
            <v>060.365.1308</v>
          </cell>
          <cell r="E2378" t="str">
            <v>ESPIRALES. ESPIRALES HELICOIDALES DE LIBERACION MECANICA O HIDRAULICA PARAEMBOLIZACION ENDOVASCULAR. ESTERIL Y DESECHABLE. LONGITUD: 3 CM CALIBRE: 0.018".HELICE: 2 MM. PIEZA.</v>
          </cell>
          <cell r="U2378">
            <v>592</v>
          </cell>
          <cell r="V2378">
            <v>1478</v>
          </cell>
        </row>
        <row r="2379">
          <cell r="A2379">
            <v>2376</v>
          </cell>
          <cell r="B2379" t="str">
            <v>060.365.1316</v>
          </cell>
          <cell r="E2379" t="str">
            <v>ESPIRALES. ESPIRALES HELICOIDALES DE LIBERACION MECANICA O HIDRAULICA PARAEMBOLIZACION ENDOVASCULAR. ESTERIL Y DESECHABLE. LONGITUD: 4 CM CALIBRE: 0.018".HELICE: 2 MM. PIEZA.</v>
          </cell>
          <cell r="U2379">
            <v>516</v>
          </cell>
          <cell r="V2379">
            <v>1289</v>
          </cell>
        </row>
        <row r="2380">
          <cell r="A2380">
            <v>2377</v>
          </cell>
          <cell r="B2380" t="str">
            <v>060.365.1373</v>
          </cell>
          <cell r="E2380" t="str">
            <v>ESPIRALES. ESPIRALES HELICOIDALES DE LIBERACION MECANICA O HIDRAULICA PARAEMBOLIZACION ENDOVASCULAR. ESTERIL Y DESECHABLE. LONGITUD: 5 CM CALIBRE: 0.018".HELICE: 3 MM. PIEZA.</v>
          </cell>
          <cell r="U2380">
            <v>372</v>
          </cell>
          <cell r="V2380">
            <v>927</v>
          </cell>
        </row>
        <row r="2381">
          <cell r="A2381">
            <v>2378</v>
          </cell>
          <cell r="B2381" t="str">
            <v>060.365.1415</v>
          </cell>
          <cell r="E2381" t="str">
            <v>ESPIRALES. ESPIRALES HELICOIDALES DE LIBERACION MECANICA O HIDRAULICA PARAEMBOLIZACION ENDOVASCULAR. ESTERIL Y DESECHABLE. LONGITUD: 6 CM CALIBRE: 0.018".HELICE: 4 MM. PIEZA.</v>
          </cell>
          <cell r="U2381">
            <v>302</v>
          </cell>
          <cell r="V2381">
            <v>754</v>
          </cell>
        </row>
        <row r="2382">
          <cell r="A2382">
            <v>2379</v>
          </cell>
          <cell r="B2382" t="str">
            <v>060.365.1555</v>
          </cell>
          <cell r="E2382" t="str">
            <v>ESPIRALES. ESPIRALES HELICOIDALES DE LIBERACION MECANICA O HIDRAULICA PARAEMBOLIZACION ENDOVASCULAR. ESTERIL Y DESECHABLE. LONGITUD: 2 CM. CALIBRE:0.038". HELICE: 4 MM. PIEZA.</v>
          </cell>
          <cell r="U2382">
            <v>190</v>
          </cell>
          <cell r="V2382">
            <v>473</v>
          </cell>
        </row>
        <row r="2383">
          <cell r="A2383">
            <v>2380</v>
          </cell>
          <cell r="B2383" t="str">
            <v>060.365.1639</v>
          </cell>
          <cell r="E2383" t="str">
            <v>ESPIRALES. ESPIRALES HELICOIDALES DE LIBERACION MECANICA O HIDRAULICA PARAEMBOLIZACION ENDOVASCULAR. ESTERIL Y DESECHABLE. LONGITUD: 2 CM. CALIBRE:0.038". HELICE: 6 MM. PIEZA.</v>
          </cell>
          <cell r="U2383">
            <v>322</v>
          </cell>
          <cell r="V2383">
            <v>803</v>
          </cell>
        </row>
        <row r="2384">
          <cell r="A2384">
            <v>2381</v>
          </cell>
          <cell r="B2384" t="str">
            <v>060.365.1647</v>
          </cell>
          <cell r="E2384" t="str">
            <v>ESPIRALES. ESPIRALES HELICOIDALES DE LIBERACION MECANICA O HIDRAULICA PARAEMBOLIZACION ENDOVASCULAR. ESTERIL Y DESECHABLE. LONGITUD: 4 CM. CALIBRE:0.038". HELICE: 6 MM. PIEZA.</v>
          </cell>
          <cell r="U2384">
            <v>188</v>
          </cell>
          <cell r="V2384">
            <v>467</v>
          </cell>
        </row>
        <row r="2385">
          <cell r="A2385">
            <v>2382</v>
          </cell>
          <cell r="B2385" t="str">
            <v>060.371.2472</v>
          </cell>
          <cell r="E2385" t="str">
            <v>ESPONJAS NEUROQUIRURGICAS. DE ALGODON PRENSADO O RAYON NO TEJIDO CON MARCARADIOPACA. ESTERILES. MEDIDAS: 6.4 X 6.4 MM. ENVASE CON 10 PIEZAS.</v>
          </cell>
          <cell r="U2385">
            <v>2561</v>
          </cell>
          <cell r="V2385">
            <v>6401</v>
          </cell>
        </row>
        <row r="2386">
          <cell r="A2386">
            <v>2383</v>
          </cell>
          <cell r="B2386" t="str">
            <v>060.371.2480</v>
          </cell>
          <cell r="E2386" t="str">
            <v>ESPONJAS NEUROQUIRURGICAS. DE ALGODON PRENSADO O RAYON NO TEJIDO CON MARCARADIOPACA. ESTERILES. MEDIDAS: 13.0 X 13.0 MM ENVASE CON 10 PIEZAS.</v>
          </cell>
          <cell r="U2386">
            <v>7124</v>
          </cell>
          <cell r="V2386">
            <v>17809</v>
          </cell>
        </row>
        <row r="2387">
          <cell r="A2387">
            <v>2384</v>
          </cell>
          <cell r="B2387" t="str">
            <v>060.371.2498</v>
          </cell>
          <cell r="E2387" t="str">
            <v>ESPONJAS NEUROQUIRURGICAS. DE ALGODON PRENSADO O RAYON NO TEJIDO CON MARCARADIOPACA. ESTERILES. MEDIDAS: 13.0 X 76.0 MM. ENVASE CON 10 PIEZAS.</v>
          </cell>
          <cell r="U2387">
            <v>19140</v>
          </cell>
          <cell r="V2387">
            <v>47848</v>
          </cell>
        </row>
        <row r="2388">
          <cell r="A2388">
            <v>2385</v>
          </cell>
          <cell r="B2388" t="str">
            <v>060.371.2506</v>
          </cell>
          <cell r="E2388" t="str">
            <v>ESPONJAS NEUROQUIRURGICAS. DE ALGODON PRENSADO O RAYON NO TEJIDO CON MARCARADIOPACA. ESTERILES. MEDIDAS: 25.0 X 76.0 MM. ENVASE CON 10 PIEZAS.</v>
          </cell>
          <cell r="U2388">
            <v>43744</v>
          </cell>
          <cell r="V2388">
            <v>109357</v>
          </cell>
        </row>
        <row r="2389">
          <cell r="A2389">
            <v>2386</v>
          </cell>
          <cell r="B2389" t="str">
            <v>060.371.2514</v>
          </cell>
          <cell r="E2389" t="str">
            <v>ESPONJAS NEUROQUIRURGICAS. DE ALGODON PRENSADO O RAYON NO TEJIDO CON MARCARADIOPACA. ESTERILES. MEDIDAS: 76.0 X 76.0 MM. ENVASE CON 10 PIEZAS.</v>
          </cell>
          <cell r="U2389">
            <v>9201</v>
          </cell>
          <cell r="V2389">
            <v>23001</v>
          </cell>
        </row>
        <row r="2390">
          <cell r="A2390">
            <v>2387</v>
          </cell>
          <cell r="B2390" t="str">
            <v>060.371.2548</v>
          </cell>
          <cell r="E2390" t="str">
            <v>ESPONJAS. PARA CIRUGÍA OFTÁLMICA CON MARCA RADIOPACA. ESTÉRIL Y DESECHABLE. PIEZA.</v>
          </cell>
          <cell r="U2390">
            <v>2026</v>
          </cell>
          <cell r="V2390">
            <v>5062</v>
          </cell>
        </row>
        <row r="2391">
          <cell r="A2391">
            <v>2388</v>
          </cell>
          <cell r="B2391" t="str">
            <v>060.390.0044</v>
          </cell>
          <cell r="E2391" t="str">
            <v>ESTIMULADORES. VISUAL, TIPO VISOR (GOGLES) CON BANDA AJUSTABLE, CON FUENTELUMINOSA INTEGRADA, GENERADORA DE ESTIMULOS CONTROLABLES. PIEZA.</v>
          </cell>
          <cell r="U2391">
            <v>6544</v>
          </cell>
          <cell r="V2391">
            <v>16360</v>
          </cell>
        </row>
        <row r="2392">
          <cell r="A2392">
            <v>2389</v>
          </cell>
          <cell r="B2392" t="str">
            <v>060.400.0067</v>
          </cell>
          <cell r="E2392" t="str">
            <v>EXPANSORES DE PIEL. EXPANSORES DE PIEL DE SILICON GRADO MEDICO TEJIDO PH DISEÑOSEMILUNAR 4 DE 250 ML CON VALVULA REMOTA Y CONECTOR DE METAL. PIEZA.</v>
          </cell>
          <cell r="U2392">
            <v>4253</v>
          </cell>
          <cell r="V2392">
            <v>10631</v>
          </cell>
        </row>
        <row r="2393">
          <cell r="A2393">
            <v>2390</v>
          </cell>
          <cell r="B2393" t="str">
            <v>060.400.0091</v>
          </cell>
          <cell r="E2393" t="str">
            <v>EXPANSORES DE PIEL. EXPANSORES DE PIEL DE SILICON GRADO MEDICO. FORMARECTANGULAR CON VALVULA REMOTA. VOLUMEN: 480-500 ML. PIEZA.</v>
          </cell>
          <cell r="U2393">
            <v>652</v>
          </cell>
          <cell r="V2393">
            <v>1627</v>
          </cell>
        </row>
        <row r="2394">
          <cell r="A2394">
            <v>2391</v>
          </cell>
          <cell r="B2394" t="str">
            <v>060.400.0125</v>
          </cell>
          <cell r="E2394" t="str">
            <v>EXPANSORES DE PIEL DE SILICON GRADO MEDICO. FORMA REDONDA CON VALVULA REMOTA.VOLUMEN: 300 ML. PIEZA.</v>
          </cell>
          <cell r="U2394">
            <v>807</v>
          </cell>
          <cell r="V2394">
            <v>2015</v>
          </cell>
        </row>
        <row r="2395">
          <cell r="A2395">
            <v>2392</v>
          </cell>
          <cell r="B2395" t="str">
            <v>060.400.0133</v>
          </cell>
          <cell r="E2395" t="str">
            <v>EXPANSORES DE PIEL. EXPANSORES DE PIEL DE SILICON GRADO MEDICO. FORMA REDONDACON VALVULA REMOTA. VOLUMEN: 450 - 500 ML. PIEZA.</v>
          </cell>
          <cell r="U2395">
            <v>972</v>
          </cell>
          <cell r="V2395">
            <v>2430</v>
          </cell>
        </row>
        <row r="2396">
          <cell r="A2396">
            <v>2393</v>
          </cell>
          <cell r="B2396" t="str">
            <v>060.400.0265</v>
          </cell>
          <cell r="E2396" t="str">
            <v>Elásticos. Intermaxilares de: 3/16 8 oz. Envase con 100 piezas.</v>
          </cell>
          <cell r="U2396">
            <v>2856</v>
          </cell>
          <cell r="V2396">
            <v>7138</v>
          </cell>
        </row>
        <row r="2397">
          <cell r="A2397">
            <v>2394</v>
          </cell>
          <cell r="B2397" t="str">
            <v>060.409.0019</v>
          </cell>
          <cell r="E2397" t="str">
            <v>Extensiones. Angiográfica  de  alta  presión  (hasta  1200  p.s.i.)  con terminales macho-hembra de 50 cm de longitud. Pieza.</v>
          </cell>
          <cell r="U2397">
            <v>110</v>
          </cell>
          <cell r="V2397">
            <v>273</v>
          </cell>
        </row>
        <row r="2398">
          <cell r="A2398">
            <v>2395</v>
          </cell>
          <cell r="B2398" t="str">
            <v>060.409.0035</v>
          </cell>
          <cell r="E2398" t="str">
            <v>TRANSDUCTOR. DE PRESION CON ACCESORIOS COMPLETOS. DESECHABLE. PIEZA.</v>
          </cell>
          <cell r="U2398">
            <v>8064</v>
          </cell>
          <cell r="V2398">
            <v>20160</v>
          </cell>
        </row>
        <row r="2399">
          <cell r="A2399">
            <v>2396</v>
          </cell>
          <cell r="B2399" t="str">
            <v>060.421.0153</v>
          </cell>
          <cell r="E2399" t="str">
            <v>FÉRULAS. ARCO DE ERICK PARA INMOVILIZACIÓN INTERDENTO-MAXILO MANDIBULAR. PIEZA.</v>
          </cell>
          <cell r="U2399">
            <v>80</v>
          </cell>
          <cell r="V2399">
            <v>200</v>
          </cell>
        </row>
        <row r="2400">
          <cell r="A2400">
            <v>2397</v>
          </cell>
          <cell r="B2400" t="str">
            <v>060.421.0649</v>
          </cell>
          <cell r="E2400" t="str">
            <v>FILTROS. PARA LEUCORREDUCIR CONCENTRADOS PLAQUETARIOS CON UNA MEDIA DELEUCOCITOS RESIDUALES CONSISTENTEMENTE INFERIOR A 5 X 105 DURANTE LA TRANSFUSION(PARA 3 A 8 UNIDADES). PIEZA. PARA USO DIRECTO EN EL PACIENTE.</v>
          </cell>
          <cell r="U2400">
            <v>12192</v>
          </cell>
          <cell r="V2400">
            <v>30478</v>
          </cell>
        </row>
        <row r="2401">
          <cell r="A2401">
            <v>2398</v>
          </cell>
          <cell r="B2401" t="str">
            <v>060.421.0789</v>
          </cell>
          <cell r="E2401" t="str">
            <v>FILTROS. PARA LEUCORREDUCIR CONCENTRADOS ERITROCITARIOS CON UNA MEDIA DELEUCOCITOS RESIDUALES CONSISTENTEMENTE INFERIOR A 5 X 105 DURANTE LA TRANSFUSIONPARA USO DIRECTO EN EL PACIENTE. PIEZA.</v>
          </cell>
          <cell r="U2401">
            <v>7325</v>
          </cell>
          <cell r="V2401">
            <v>18311</v>
          </cell>
        </row>
        <row r="2402">
          <cell r="A2402">
            <v>2399</v>
          </cell>
          <cell r="B2402" t="str">
            <v>060.422.0046</v>
          </cell>
          <cell r="E2402" t="str">
            <v>Filtros. Para el suministro de soluciones intravenosas no hemáticas con diámetro de poro de 0.2 a 0.22 micras con extensión ensamblada que incluye: sitio de inyección en "Y" válvula para evitar reflujo y conectores luer lock con tapones. Estéril y desechable. Pieza.</v>
          </cell>
          <cell r="U2402">
            <v>96400</v>
          </cell>
          <cell r="V2402">
            <v>241000</v>
          </cell>
        </row>
        <row r="2403">
          <cell r="A2403">
            <v>2400</v>
          </cell>
          <cell r="B2403" t="str">
            <v>060.422.0061</v>
          </cell>
          <cell r="E2403" t="str">
            <v>Filtros. Para el suministro de soluciones intravenosas no hemáticas con diámetro de poro de 0.2 a 0.22 micras con extensión ensamblada que incluye: válvula para evitar reflujo y conectores luer lock con tapón. Estéril y desechable. Pieza.</v>
          </cell>
          <cell r="U2403">
            <v>96696</v>
          </cell>
          <cell r="V2403">
            <v>241738</v>
          </cell>
        </row>
        <row r="2404">
          <cell r="A2404">
            <v>2401</v>
          </cell>
          <cell r="B2404" t="str">
            <v>060.422.0533</v>
          </cell>
          <cell r="E2404" t="str">
            <v>FILTROS EPIDURAL ANTIBACTERIANO TRANSPARENTE DE 0.2 MICRAS, ESTERIL YDESECHABLE, CON VOLUMEN RESIDUAL MAXIMO DE 0.75 ML, RESISTENTE A PRESIONES DEMAS DE 5 BARS, CONCONECTOR LUER LOCK HEMBRA EN UN EXTREMO Y CONECTOR LUER LOCKMACHO EN EL OTRO EXTREMO, CON TAPONES. PIEZA.</v>
          </cell>
          <cell r="U2404">
            <v>2696</v>
          </cell>
          <cell r="V2404">
            <v>6740</v>
          </cell>
        </row>
        <row r="2405">
          <cell r="A2405">
            <v>2402</v>
          </cell>
          <cell r="B2405" t="str">
            <v>060.422.0657</v>
          </cell>
          <cell r="E2405" t="str">
            <v>Filtros. Dispositivo de plástico grado médico para reconstituir medicamentos. Con 2 filtros el primero de 0.2 micras y el segundo de 5.0 micras. Con adaptador luer lock y protector. Estéril y desechable. Pieza.</v>
          </cell>
          <cell r="U2405">
            <v>3207</v>
          </cell>
          <cell r="V2405">
            <v>8016</v>
          </cell>
        </row>
        <row r="2406">
          <cell r="A2406">
            <v>2403</v>
          </cell>
          <cell r="B2406" t="str">
            <v>060.422.0665</v>
          </cell>
          <cell r="E2406" t="str">
            <v>COLUMNA PARA SEPARACION DE INMUNOGLUBULINAS. DISPOSITIVO DE INMUNOADSORCIONEXTRACORPOREA PARA REDUCIR LOS VALORES DE ANTICUERPOS ANTI-A EN PACIENTES ANTESDE UN TRASPLANTE DE GRUPO SANGUINEO INCOMPATIBLE ABO. PRODUCTO ESTERIL DE UNSOLO USO ENVASE QUE CONTIENE UNA COLUMNA PARA CONECTAR A EQUIPO SEPARADOR DEPLASMA.</v>
          </cell>
          <cell r="U2406">
            <v>4134</v>
          </cell>
          <cell r="V2406">
            <v>10333</v>
          </cell>
        </row>
        <row r="2407">
          <cell r="A2407">
            <v>2404</v>
          </cell>
          <cell r="B2407" t="str">
            <v>060.422.0673</v>
          </cell>
          <cell r="E2407" t="str">
            <v>COLUMNA PARA INMUNOADSORCION PARA EQUIPO SEPARADOR DE PLASMA. DISPOSITIVO DEINMUNOADSORCION EXTRACORPOREA PARA  REDUCIR LOS VALORES DE ANTICUERPOS ANTI-B ENPACIENTES ANTES DE UN TRASPLANTE DE GRUPO SANGUINEO INCOMPATIBLE ABO. PRODUCTOESTERIL, DE UN SOLO USO. ENVASE QUE CONTIENE UNA COLUMNA PARA CONECTAR A EQUIPOSEPARADOR DE PLASMA.</v>
          </cell>
          <cell r="U2407">
            <v>10276</v>
          </cell>
          <cell r="V2407">
            <v>25689</v>
          </cell>
        </row>
        <row r="2408">
          <cell r="A2408">
            <v>2405</v>
          </cell>
          <cell r="B2408" t="str">
            <v>060.425.3666</v>
          </cell>
          <cell r="E2408" t="str">
            <v>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Llave en "T .</v>
          </cell>
          <cell r="U2408">
            <v>888</v>
          </cell>
          <cell r="V2408">
            <v>2216</v>
          </cell>
        </row>
        <row r="2409">
          <cell r="A2409">
            <v>2406</v>
          </cell>
          <cell r="B2409" t="str">
            <v>060.426.0323</v>
          </cell>
          <cell r="E2409" t="str">
            <v>Frascos. 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v>
          </cell>
          <cell r="U2409">
            <v>174052</v>
          </cell>
          <cell r="V2409">
            <v>435129</v>
          </cell>
        </row>
        <row r="2410">
          <cell r="A2410">
            <v>2407</v>
          </cell>
          <cell r="B2410" t="str">
            <v>060.426.0331</v>
          </cell>
          <cell r="E2410" t="str">
            <v>Frascos. 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v>
          </cell>
          <cell r="U2410">
            <v>84861</v>
          </cell>
          <cell r="V2410">
            <v>212152</v>
          </cell>
        </row>
        <row r="2411">
          <cell r="A2411">
            <v>2408</v>
          </cell>
          <cell r="B2411" t="str">
            <v>060.427.0017</v>
          </cell>
          <cell r="E2411" t="str">
            <v>FLUJÓMETOS. DISPOSITIVO DE PLÁSTICO RESISTENTE CALIBRADO PARA MEDIR FLUJO ESPIRATORIO MÁXIMO. VIDA ÚTIL 1 AÑO. PIEZA.</v>
          </cell>
          <cell r="U2411">
            <v>11220</v>
          </cell>
          <cell r="V2411">
            <v>28046</v>
          </cell>
        </row>
        <row r="2412">
          <cell r="A2412">
            <v>2409</v>
          </cell>
          <cell r="B2412" t="str">
            <v>060.431.0516</v>
          </cell>
          <cell r="E2412" t="str">
            <v>FRESONES. METÁLICOS PARA REBAJAR ACRÍLICO JUEGO QUE INCLUYE UNO DE BOLA UNO DE FLAMA Y OTRO DE FRESA. JUEGO.</v>
          </cell>
          <cell r="U2412">
            <v>1538</v>
          </cell>
          <cell r="V2412">
            <v>3843</v>
          </cell>
        </row>
        <row r="2413">
          <cell r="A2413">
            <v>2410</v>
          </cell>
          <cell r="B2413" t="str">
            <v>060.431.0789</v>
          </cell>
          <cell r="E2413" t="str">
            <v>FRESAS. FRESAS DE TRIPLE BORDE, CORTANTES. DIAMETRO: 2.0 MM CORTA. PIEZA.</v>
          </cell>
          <cell r="U2413">
            <v>63626</v>
          </cell>
          <cell r="V2413">
            <v>159062</v>
          </cell>
        </row>
        <row r="2414">
          <cell r="A2414">
            <v>2411</v>
          </cell>
          <cell r="B2414" t="str">
            <v>060.431.0797</v>
          </cell>
          <cell r="E2414" t="str">
            <v>FRESAS DE TRIPLE BORDE, CORTANTES. DIAMETRO 2.0 MM LARGA.</v>
          </cell>
          <cell r="U2414">
            <v>63612</v>
          </cell>
          <cell r="V2414">
            <v>159027</v>
          </cell>
        </row>
        <row r="2415">
          <cell r="A2415">
            <v>2412</v>
          </cell>
          <cell r="B2415" t="str">
            <v>060.431.0805</v>
          </cell>
          <cell r="E2415" t="str">
            <v>FRESAS DE TRIPLE BORDE, CORTANTES. DIAMETRO 3.1 MM CONICO.</v>
          </cell>
          <cell r="U2415">
            <v>64276</v>
          </cell>
          <cell r="V2415">
            <v>160690</v>
          </cell>
        </row>
        <row r="2416">
          <cell r="A2416">
            <v>2413</v>
          </cell>
          <cell r="B2416" t="str">
            <v>060.431.0813</v>
          </cell>
          <cell r="E2416" t="str">
            <v>FRESAS DE TRIPLE BORDE, CORTANTES. DIAMETRO 4.1 MM CONICO.</v>
          </cell>
          <cell r="U2416">
            <v>59437</v>
          </cell>
          <cell r="V2416">
            <v>148591</v>
          </cell>
        </row>
        <row r="2417">
          <cell r="A2417">
            <v>2414</v>
          </cell>
          <cell r="B2417" t="str">
            <v>060.435.0017</v>
          </cell>
          <cell r="E2417" t="str">
            <v>GEL. GEL ORAL PARA ENJUAGUE BUCAL COMPUESTO A BASE DE HIALURONATO DE SODIO AL 0.1% Y POLIVINILPIRROLIDONA AL 9.0%. COADYUVANTE EN EL TRATAMIENTO DE LESIONES DE LA CAVIDAD BUCOFARÍNGEA. SOBRE CON 15 ML.</v>
          </cell>
          <cell r="U2417">
            <v>3690</v>
          </cell>
          <cell r="V2417">
            <v>9224</v>
          </cell>
        </row>
        <row r="2418">
          <cell r="A2418">
            <v>2415</v>
          </cell>
          <cell r="B2418" t="str">
            <v>060.435.0025</v>
          </cell>
          <cell r="E2418" t="str">
            <v>GEL TOPICO PARA LA DERMATITIS INDUCIDA POR RADIOTERAPIA, DE BASE ACUOSA NOESTERIL, QUE FORMA UNA PELICULA PROTECTORA SOBRE LA PIEL, QUE REDUCE LA PERDIDADE AGUA TRANSEPIDERMICA PARA AUMENTAR Y RESTAURAR LOS NIVELES DE HIDRATACIONFISIOLOGICA DE LA PIEL. CAJA CON FRASCO DE 75 ML.</v>
          </cell>
          <cell r="U2418">
            <v>13662</v>
          </cell>
          <cell r="V2418">
            <v>34154</v>
          </cell>
        </row>
        <row r="2419">
          <cell r="A2419">
            <v>2416</v>
          </cell>
          <cell r="B2419" t="str">
            <v>060.435.0033</v>
          </cell>
          <cell r="E2419" t="str">
            <v>Gel. Pirfenidona Gel Cada 100g de gel contiene: Pirfenidona 8.0 g Dialil óxido de disulfuro modificado 0.016 g. Tubo con 120 gramos</v>
          </cell>
          <cell r="U2419">
            <v>22508</v>
          </cell>
          <cell r="V2419">
            <v>56268</v>
          </cell>
        </row>
        <row r="2420">
          <cell r="A2420">
            <v>2417</v>
          </cell>
          <cell r="B2420" t="str">
            <v>060.435.0041</v>
          </cell>
          <cell r="E2420" t="str">
            <v>Gel. Pirfenidona Gel Cada 100g de gel contiene: Pirfenidona 8.0 g Dialil óxido de disulfuro modificado 0.016 g. Tubo con 40 gramos</v>
          </cell>
          <cell r="U2420">
            <v>3416</v>
          </cell>
          <cell r="V2420">
            <v>8537</v>
          </cell>
        </row>
        <row r="2421">
          <cell r="A2421">
            <v>2418</v>
          </cell>
          <cell r="B2421" t="str">
            <v>060.435.0049</v>
          </cell>
          <cell r="E2421" t="str">
            <v>GEL. ACIDO FOSFORICO MINIMO AL 35% PARA GRABADO DE ESMALTE Y ACONDICIONAMIENTODE DENTINA PREVIO A LA RESTAURACION DENTAL. TIENE UNA COLORACION AZUL O VERDEPARA FACILITAR EL LIMITE VISIBLE DE LA RESTAURACION. VISCOSIDAD MEDIA. JERINGACON 3 MILILITROS. INCLUYE MINIMO 20 PUNTAS DISPENSADORAS FLEXIBLES.</v>
          </cell>
          <cell r="U2421">
            <v>24799</v>
          </cell>
          <cell r="V2421">
            <v>61995</v>
          </cell>
        </row>
        <row r="2422">
          <cell r="A2422">
            <v>2419</v>
          </cell>
          <cell r="B2422" t="str">
            <v>060.435.0057</v>
          </cell>
          <cell r="E2422" t="str">
            <v>GEL. ACIDO FOSFORICO MINIMO AL 35% PARA GRABADO DE ESMALTE Y ACONDICIONAMIENTODE DENTINA PREVIO A LA RESTAURACION DENTAL. TIENE UNA COLORACION AZUL O VERDEPARA FACILITAR EL LIMITE VISIBLE DE LA RESTAURACION. VISCOSIDAD MEDIA. JERINGACON 2.5 A 3.5 GRAMOS. INCLUYE MINIMO 20 PUNTAS DISPENSADORAS FLEXIBLES.</v>
          </cell>
          <cell r="U2422">
            <v>10166</v>
          </cell>
          <cell r="V2422">
            <v>25413</v>
          </cell>
        </row>
        <row r="2423">
          <cell r="A2423">
            <v>2420</v>
          </cell>
          <cell r="B2423" t="str">
            <v>060.435.0065</v>
          </cell>
          <cell r="E2423" t="str">
            <v>GEL. ACIDO FOSFORICO MINIMO AL 35% PARA GRABADO DE ESMALTE Y ACONDICIONAMIENTODE DENTINA PREVIO A LA RESTAURACION DENTAL. TIENE UNA COLORACION AZUL O VERDEPARA FACILITAR EL LIMITE VISIBLE DE LA RESTAURACION. VISCOSIDAD MEDIA. JERINGACON 5 GRAMOS. INCLUYE MINIMO 20 PUNTAS DISPENSADORAS FLEXIBLES.</v>
          </cell>
          <cell r="U2423">
            <v>8380</v>
          </cell>
          <cell r="V2423">
            <v>20950</v>
          </cell>
        </row>
        <row r="2424">
          <cell r="A2424">
            <v>2421</v>
          </cell>
          <cell r="B2424" t="str">
            <v>060.435.0073</v>
          </cell>
          <cell r="E2424" t="str">
            <v>GEL. ACIDO FOSFORICO MINIMO AL 35% PARA GRABADO DE ESMALTE Y ACONDICIONAMIENTODE DENTINA PREVIO A LA RESTAURACION DENTAL. TIENE UNA COLORACION AZUL O VERDEPARA FACILITAR EL LIMITE VISIBLE DE LA RESTAURACION. VISCOSIDAD MEDIA. JERINGACON 5 MILILITROS. INCLUYE MINIMO 40 PUNTAS DISPENSADORAS FLEXIBLES.</v>
          </cell>
          <cell r="U2424">
            <v>16820</v>
          </cell>
          <cell r="V2424">
            <v>42046</v>
          </cell>
        </row>
        <row r="2425">
          <cell r="A2425">
            <v>2422</v>
          </cell>
          <cell r="B2425" t="str">
            <v>060.436.0057</v>
          </cell>
          <cell r="E2425" t="str">
            <v>Gasas. Seca cortada de algodón 100%. Tejida. Doblada en 12 capas. No estéril. Tipo de tejido VII. De 20 x 12 Título de hilo de 28 a 32 m/g tanto en urdimbre como en trama. Peso mínimo por m2 19g/ m2 Largo: 7.5 cm. Ancho: 5 cm. Área: 432 cm2. Envase con 200.</v>
          </cell>
          <cell r="U2425">
            <v>939003</v>
          </cell>
          <cell r="V2425">
            <v>2347505</v>
          </cell>
        </row>
        <row r="2426">
          <cell r="A2426">
            <v>2423</v>
          </cell>
          <cell r="B2426" t="str">
            <v>060.436.0107</v>
          </cell>
          <cell r="E2426" t="str">
            <v>Gasas. Seca cortada de algodón 100%. Tejida. Doblada en 12 capas. No estéril. Tipo de tejido VII. De 20 x 12 Título de hilo de 28 a 32 m/g tanto en urdimbre como en trama. Peso mínimo por m2 19g/ m2 Largo: 10 cm. Ancho: 10 cm. Área: 1152 cm2. Envase con 200.</v>
          </cell>
          <cell r="U2426">
            <v>262604</v>
          </cell>
          <cell r="V2426">
            <v>656507</v>
          </cell>
        </row>
        <row r="2427">
          <cell r="A2427">
            <v>2424</v>
          </cell>
          <cell r="B2427" t="str">
            <v>060.436.0206</v>
          </cell>
          <cell r="E2427" t="str">
            <v>Gasas. Simple seca. De algodón tipo hospital. Rollo tejido plano (doblada). Largo: 91 m. Ancho: 91 cm. Rollo.</v>
          </cell>
          <cell r="U2427">
            <v>8941</v>
          </cell>
          <cell r="V2427">
            <v>22351</v>
          </cell>
        </row>
        <row r="2428">
          <cell r="A2428">
            <v>2425</v>
          </cell>
          <cell r="B2428" t="str">
            <v>060.436.0552</v>
          </cell>
          <cell r="E2428" t="str">
            <v>Gasas. Seca cortada de algodón con marca radiopaca. Largo: 10 cm. Ancho: 10 cm. Envase con 200 Piezas.</v>
          </cell>
          <cell r="U2428">
            <v>583351</v>
          </cell>
          <cell r="V2428">
            <v>1458375</v>
          </cell>
        </row>
        <row r="2429">
          <cell r="A2429">
            <v>2426</v>
          </cell>
          <cell r="B2429" t="str">
            <v>060.436.0669</v>
          </cell>
          <cell r="E2429" t="str">
            <v>GASAS. ROLLO TEJIDO DE PUNTO. LARGO: 91 M. ANCHO: 45 CM. ROLLO</v>
          </cell>
          <cell r="U2429">
            <v>228</v>
          </cell>
          <cell r="V2429">
            <v>568</v>
          </cell>
        </row>
        <row r="2430">
          <cell r="A2430">
            <v>2427</v>
          </cell>
          <cell r="B2430" t="str">
            <v>060.436.0677</v>
          </cell>
          <cell r="E2430" t="str">
            <v>Gasas. Gasa seca cortada de tela no tejida no estéril. 7.5 cm x 7.5 cm. Envase con 200 Piezas.</v>
          </cell>
          <cell r="U2430">
            <v>330740</v>
          </cell>
          <cell r="V2430">
            <v>826850</v>
          </cell>
        </row>
        <row r="2431">
          <cell r="A2431">
            <v>2428</v>
          </cell>
          <cell r="B2431" t="str">
            <v>060.436.0685</v>
          </cell>
          <cell r="E2431" t="str">
            <v>Gasas. Gasa seca cortada de tela no tejida no estéril. 10 cm x 10 cm. Envase con 200 Piezas.</v>
          </cell>
          <cell r="U2431">
            <v>1114632</v>
          </cell>
          <cell r="V2431">
            <v>2786580</v>
          </cell>
        </row>
        <row r="2432">
          <cell r="A2432">
            <v>2429</v>
          </cell>
          <cell r="B2432" t="str">
            <v>060.436.0693</v>
          </cell>
          <cell r="E2432" t="str">
            <v>GASAS. SECA CORTADA DE ALGODÓN CON MARCA RADIOPACA. ESTÉRIL. MEDIDAS: 10 X 10 CM. ENVASE CON 10 PIEZAS.</v>
          </cell>
          <cell r="U2432">
            <v>81076</v>
          </cell>
          <cell r="V2432">
            <v>202688</v>
          </cell>
        </row>
        <row r="2433">
          <cell r="A2433">
            <v>2430</v>
          </cell>
          <cell r="B2433" t="str">
            <v>060.436.0701</v>
          </cell>
          <cell r="E2433" t="str">
            <v>Gasas. Seca cortada de algodón de doce capas; con tejido tipo III. Largo: Ancho: 10 cm Estéril y desechable. Envase con dos y cinco piezas.</v>
          </cell>
          <cell r="U2433">
            <v>50253329</v>
          </cell>
          <cell r="V2433">
            <v>125633319</v>
          </cell>
        </row>
        <row r="2434">
          <cell r="A2434">
            <v>2431</v>
          </cell>
          <cell r="B2434" t="str">
            <v>060.436.0707</v>
          </cell>
          <cell r="E2434" t="str">
            <v>Gasas. Seca cortada de algodón 100%. Tejida. Doblada en 8 capas. No estéril. Tipo de tejido VII. Título de hilo de 28 a 32 m/g tanto en urdimbre como en trama. Peso mínimo por m2 19g/ m4 Largo:10 cm. Ancho: 10 cm. Área: 768 cm2 . Envase con 200.</v>
          </cell>
          <cell r="U2434">
            <v>11570</v>
          </cell>
          <cell r="V2434">
            <v>28923</v>
          </cell>
        </row>
        <row r="2435">
          <cell r="A2435">
            <v>2432</v>
          </cell>
          <cell r="B2435" t="str">
            <v>060.436.0719</v>
          </cell>
          <cell r="E2435" t="str">
            <v>GASAS. SECA CORTADA DE ALGODÓN 100%. TEJIDA. DOBLADA EN 8 CAPAS. NO ESTÉRIL. TIPO DE TEJIDO VII. DE 20 X 12. TÍTULO DE HILO DE 28 A 32 M/G TANTO EN URDIMBRE COMO EN TRAMA. PESO MÍNIMO POR M2 19G/ M2 LARGO: 7.5 CM. ANCHO: 5 CM. ÁREA: 286 CM2 . ENVASE CON 200.</v>
          </cell>
          <cell r="U2435">
            <v>80</v>
          </cell>
          <cell r="V2435">
            <v>200</v>
          </cell>
        </row>
        <row r="2436">
          <cell r="A2436">
            <v>2433</v>
          </cell>
          <cell r="B2436" t="str">
            <v>060.437.0064</v>
          </cell>
          <cell r="E2436" t="str">
            <v>GANCHOS DE BOLA PARA ORTODONCIA DE 0.80 MM. PIEZA.</v>
          </cell>
          <cell r="U2436">
            <v>373</v>
          </cell>
          <cell r="V2436">
            <v>929</v>
          </cell>
        </row>
        <row r="2437">
          <cell r="A2437">
            <v>2434</v>
          </cell>
          <cell r="B2437" t="str">
            <v>060.439.0039</v>
          </cell>
          <cell r="E2437" t="str">
            <v>GORROS. GORRO DE TELA NO TEJIDA DE POLIPROPILENO DESECHABLE. IMPERMEABLE A LAPENETRACION DE LIQUIDOS Y FLUIDOS; ANTIESTATICA Y RESISTENTE A LA TENSION.CINTAS DE AJUSTE EN EL EXTREMO DISTAL. TAMAÑO ESTANDAR. DESECHABLE. PIEZA.</v>
          </cell>
          <cell r="U2437">
            <v>6671365</v>
          </cell>
          <cell r="V2437">
            <v>16678411</v>
          </cell>
        </row>
        <row r="2438">
          <cell r="A2438">
            <v>2435</v>
          </cell>
          <cell r="B2438" t="str">
            <v>060.439.0054</v>
          </cell>
          <cell r="E2438" t="str">
            <v>Gorros. Gorro redondo con elástico ajustable al contorno de la cara de tela no tejida de polipropileno desechable. Impermeable a la penetración de líquidos y fluidos; antiestática y resistente a la tensión. Tamaño: Chico. Desechable. Pieza.</v>
          </cell>
          <cell r="U2438">
            <v>16759477</v>
          </cell>
          <cell r="V2438">
            <v>41898691</v>
          </cell>
        </row>
        <row r="2439">
          <cell r="A2439">
            <v>2436</v>
          </cell>
          <cell r="B2439" t="str">
            <v>060.439.0062</v>
          </cell>
          <cell r="E2439" t="str">
            <v>GORROS DE TRACCION ALTA CON MEDIDOR. PIEZA.</v>
          </cell>
          <cell r="U2439">
            <v>97072</v>
          </cell>
          <cell r="V2439">
            <v>242678</v>
          </cell>
        </row>
        <row r="2440">
          <cell r="A2440">
            <v>2437</v>
          </cell>
          <cell r="B2440" t="str">
            <v>060.439.0070</v>
          </cell>
          <cell r="E2440" t="str">
            <v>Gorros. Gorro redondo con elástico ajustable al contorno de la cara de tela no tejida de polipropileno desechable. Impermeable a la penetración de líquidos y fluidos; antiestática y resistente a la tensión. Tamaño: Mediano. Desechable. Pieza.</v>
          </cell>
          <cell r="U2440">
            <v>4422292</v>
          </cell>
          <cell r="V2440">
            <v>11055728</v>
          </cell>
        </row>
        <row r="2441">
          <cell r="A2441">
            <v>2438</v>
          </cell>
          <cell r="B2441" t="str">
            <v>060.439.0088</v>
          </cell>
          <cell r="E2441" t="str">
            <v>Gorros. Gorro redondo con elástico ajustable al contorno de la cara de tela no tejida de polipropileno desechable. Impermeable a la penetración de líquidos y fluidos; antiestática y resistente a la tensión. Tamaño: Grande. Desechable. Pieza.</v>
          </cell>
          <cell r="U2441">
            <v>3591103</v>
          </cell>
          <cell r="V2441">
            <v>8977754</v>
          </cell>
        </row>
        <row r="2442">
          <cell r="A2442">
            <v>2439</v>
          </cell>
          <cell r="B2442" t="str">
            <v>060.440.0010</v>
          </cell>
          <cell r="E2442" t="str">
            <v>GOMA. DE KARAYA. EN POLVO. ENVASE CON 1 K.</v>
          </cell>
          <cell r="U2442">
            <v>630</v>
          </cell>
          <cell r="V2442">
            <v>1572</v>
          </cell>
        </row>
        <row r="2443">
          <cell r="A2443">
            <v>2440</v>
          </cell>
          <cell r="B2443" t="str">
            <v>060.441.0019</v>
          </cell>
          <cell r="E2443" t="str">
            <v>Gogles. Googles,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v>
          </cell>
          <cell r="U2443">
            <v>114050</v>
          </cell>
          <cell r="V2443">
            <v>285124</v>
          </cell>
        </row>
        <row r="2444">
          <cell r="A2444">
            <v>2441</v>
          </cell>
          <cell r="B2444" t="str">
            <v>060.445.0023</v>
          </cell>
          <cell r="E2444" t="str">
            <v>Gradillas De polipropileno transparente para 100 tubos de 12 x 75 mm. Pieza.</v>
          </cell>
          <cell r="U2444">
            <v>4</v>
          </cell>
          <cell r="V2444">
            <v>8</v>
          </cell>
        </row>
        <row r="2445">
          <cell r="A2445">
            <v>2442</v>
          </cell>
          <cell r="B2445" t="str">
            <v>060.446.0014</v>
          </cell>
          <cell r="E2445" t="str">
            <v>GRAPAS. HEMOSTÁTICAS. DE TITANIUM FERRONOMAGNÉTICAS CON PINZA DESECHABLE Y CARTUCHO CON GRAPAS.. TAMAÑOS: CHICO (CON 20 GRAPAS.). JUEGO O ESTUCHE.</v>
          </cell>
          <cell r="U2445">
            <v>2003</v>
          </cell>
          <cell r="V2445">
            <v>5007</v>
          </cell>
        </row>
        <row r="2446">
          <cell r="A2446">
            <v>2443</v>
          </cell>
          <cell r="B2446" t="str">
            <v>060.446.0022</v>
          </cell>
          <cell r="E2446" t="str">
            <v>GRAPAS. HEMOSTÁTICAS. DE TITANIUM FERRONOMAGNÉTICAS CON PINZA DESECHABLE Y CARTUCHO CON GRAPAS.. TAMAÑOS: MEDIANO (CON 20 GRAPAS.). JUEGO O ESTUCHE.</v>
          </cell>
          <cell r="U2446">
            <v>1001</v>
          </cell>
          <cell r="V2446">
            <v>2500</v>
          </cell>
        </row>
        <row r="2447">
          <cell r="A2447">
            <v>2444</v>
          </cell>
          <cell r="B2447" t="str">
            <v>060.446.0030</v>
          </cell>
          <cell r="E2447" t="str">
            <v>GRAPAS HEMOSTATICAS. DE TITANIUM, FERROMAGNETICAS, CON PINZA DESECHABLE YCARTUCHO CON GRAPAS. TAMAÑO GRANDE (CON 15 GRAPAS). Juego o estuche.</v>
          </cell>
          <cell r="U2447">
            <v>1440</v>
          </cell>
          <cell r="V2447">
            <v>3597</v>
          </cell>
        </row>
        <row r="2448">
          <cell r="A2448">
            <v>2445</v>
          </cell>
          <cell r="B2448" t="str">
            <v>060.446.0048</v>
          </cell>
          <cell r="E2448" t="str">
            <v>GRAPAS. PARA ANEURISMA TAMAÑO MINI DE MATERIAL NO MAGNÉTICO PERMANENTE CURVA. TIPO: YASARGIL. LONGITUD DE QUIJADA: 3 MM APERTURA: 3.2 MM FUERZA EN GRAMOS: 110. PIEZA.</v>
          </cell>
          <cell r="U2448">
            <v>208</v>
          </cell>
          <cell r="V2448">
            <v>519</v>
          </cell>
        </row>
        <row r="2449">
          <cell r="A2449">
            <v>2446</v>
          </cell>
          <cell r="B2449" t="str">
            <v>060.446.0089</v>
          </cell>
          <cell r="E2449" t="str">
            <v>GRAPAS. PARA ANEURISMA TAMAÑO MINI DE MATERIAL NO MAGNÉTICO PERMANENTE CURVA. TIPO: YASARGIL. LONGITUD DE QUIJADA: 5 MM APERTURA: 3.8 MM FUERZA EN GRAMOS: 110. PIEZA.</v>
          </cell>
          <cell r="U2449">
            <v>298</v>
          </cell>
          <cell r="V2449">
            <v>744</v>
          </cell>
        </row>
        <row r="2450">
          <cell r="A2450">
            <v>2447</v>
          </cell>
          <cell r="B2450" t="str">
            <v>060.446.0154</v>
          </cell>
          <cell r="E2450" t="str">
            <v>GRAPAS. PARA PIEL CABELLUDA. METÁLICAS. TIPO: RANEY. ADULTO. ENVASE CON 150 PIEZAS.</v>
          </cell>
          <cell r="U2450">
            <v>12</v>
          </cell>
          <cell r="V2450">
            <v>29</v>
          </cell>
        </row>
        <row r="2451">
          <cell r="A2451">
            <v>2448</v>
          </cell>
          <cell r="B2451" t="str">
            <v>060.446.0410</v>
          </cell>
          <cell r="E2451" t="str">
            <v>GRAPAS. PARA ANEURISMA, TAMAÑO MINI, DE MATERIAL NO MAGNÉTICO, TEMPORAL, CURVA. TIPO: YASARGIL. LONGITUD DE QUIJADA: 5 MM. APERTURA: 3.8 MM. FUERZA EN GRAMOS: 50. PIEZA.</v>
          </cell>
          <cell r="U2451">
            <v>426</v>
          </cell>
          <cell r="V2451">
            <v>1064</v>
          </cell>
        </row>
        <row r="2452">
          <cell r="A2452">
            <v>2449</v>
          </cell>
          <cell r="B2452" t="str">
            <v>060.446.0451</v>
          </cell>
          <cell r="E2452" t="str">
            <v>GRAPAS. PARA ANEURISMA, TAMAÑO MINI, DE MATERIAL NO MAGNÉTICO, TEMPORAL, CURVA. TIPO: YASARGIL. LONGITUD DE QUIJADA: 7 MM. APERTURA: 4.0 MM. FUERZA EN GRAMOS: 70. PIEZA.</v>
          </cell>
          <cell r="U2452">
            <v>490</v>
          </cell>
          <cell r="V2452">
            <v>1223</v>
          </cell>
        </row>
        <row r="2453">
          <cell r="A2453">
            <v>2450</v>
          </cell>
          <cell r="B2453" t="str">
            <v>060.446.0527</v>
          </cell>
          <cell r="E2453" t="str">
            <v>GRAPAS. PARA ANEURISMA TAMAÑO ESTÁNDAR DE MATERIAL NO MAGNÉTICO PERMANENTE CURVA. TIPO: YASARGIL. LONGITUD DE QUIJADA: 11 MM. APERTURA: 6.5 MM. FUERZA EN GRAMOS: 180. PIEZA.</v>
          </cell>
          <cell r="U2453">
            <v>556</v>
          </cell>
          <cell r="V2453">
            <v>1388</v>
          </cell>
        </row>
        <row r="2454">
          <cell r="A2454">
            <v>2451</v>
          </cell>
          <cell r="B2454" t="str">
            <v>060.446.0717</v>
          </cell>
          <cell r="E2454" t="str">
            <v>GRAPAS. PARA ANEURISMA TAMAÑO ESTÁNDAR DE MATERIAL NO MAGNÉTICO PERMANENTE CURVA. TIPO: YASARGIL. LONGITUD DE QUIJADA: 15 MM. APERTURA: 7.4 MM. FUERZA EN GRAMOS: 200. PIEZA.</v>
          </cell>
          <cell r="U2454">
            <v>276</v>
          </cell>
          <cell r="V2454">
            <v>687</v>
          </cell>
        </row>
        <row r="2455">
          <cell r="A2455">
            <v>2452</v>
          </cell>
          <cell r="B2455" t="str">
            <v>060.446.0725</v>
          </cell>
          <cell r="E2455" t="str">
            <v>GRAPAS. PARA ANEURISMA TAMAÑO ESTÁNDAR DE MATERIAL NO MAGNÉTICO PERMANENTE CURVA. TIPO: YASARGIL. LONGITUD DE QUIJADA: 15 MM. APERTURA: 8.7 MM. FUERZA EN GRAMOS: 200. PIEZA.</v>
          </cell>
          <cell r="U2455">
            <v>204</v>
          </cell>
          <cell r="V2455">
            <v>508</v>
          </cell>
        </row>
        <row r="2456">
          <cell r="A2456">
            <v>2453</v>
          </cell>
          <cell r="B2456" t="str">
            <v>060.446.0741</v>
          </cell>
          <cell r="E2456" t="str">
            <v>GRAPAS. PARA ANEURISMA TAMAÑO ESTÁNDAR DE MATERIAL NO MAGNÉTICO PERMANENTE CURVA. TIPO: YASARGIL. LONGITUD DE QUIJADA: 9 MM. APERTURA: 6.1 MM. FUERZA EN GRAMOS: 150. PIEZA.</v>
          </cell>
          <cell r="U2456">
            <v>280</v>
          </cell>
          <cell r="V2456">
            <v>696</v>
          </cell>
        </row>
        <row r="2457">
          <cell r="A2457">
            <v>2454</v>
          </cell>
          <cell r="B2457" t="str">
            <v>060.446.0766</v>
          </cell>
          <cell r="E2457" t="str">
            <v>GRAPAS. PARA ANEURISMA TAMAÑO ESTÁNDAR DE MATERIAL NO MAGNÉTICO PERMANENTE CURVA. TIPO: YASARGIL. LONGITUD DE QUIJADA: 9 MM. APERTURA: 6.8 MM. FUERZA EN GRAMOS: 180. PIEZA.</v>
          </cell>
          <cell r="U2457">
            <v>303</v>
          </cell>
          <cell r="V2457">
            <v>755</v>
          </cell>
        </row>
        <row r="2458">
          <cell r="A2458">
            <v>2455</v>
          </cell>
          <cell r="B2458" t="str">
            <v>060.446.0774</v>
          </cell>
          <cell r="E2458" t="str">
            <v>GRAPAS. PARA ANEURISMA TAMAÑO ESTÁNDAR DE MATERIAL NO MAGNÉTICO PERMANENTE EN ÁNGULO DE 45 GRADOS. TIPO: YASARGIL. LONGITUD DE QUIJADA: 7 MM. APERTURA: 5.7 MM. FUERZA EN GRAMOS: 200. PIEZA.</v>
          </cell>
          <cell r="U2458">
            <v>176</v>
          </cell>
          <cell r="V2458">
            <v>437</v>
          </cell>
        </row>
        <row r="2459">
          <cell r="A2459">
            <v>2456</v>
          </cell>
          <cell r="B2459" t="str">
            <v>060.446.0782</v>
          </cell>
          <cell r="E2459" t="str">
            <v>GRAPAS. PARA ANEURISMA TAMAÑO ESTÁNDAR DE MATERIAL NO MAGNÉTICO PERMANENTE EN ÁNGULO DE 45 GRADOS. TIPO: YASARGIL. LONGITUD DE QUIJADA: 9 MM. APERTURA: 6.5 MM. FUERZA EN GRAMOS: 200. PIEZA.</v>
          </cell>
          <cell r="U2459">
            <v>128</v>
          </cell>
          <cell r="V2459">
            <v>316</v>
          </cell>
        </row>
        <row r="2460">
          <cell r="A2460">
            <v>2457</v>
          </cell>
          <cell r="B2460" t="str">
            <v>060.446.0824</v>
          </cell>
          <cell r="E2460" t="str">
            <v>GRAPAS. PARA ANEURISMA TAMAÑO ESTÁNDAR DE MATERIAL NO MAGNÉTICO PERMANENTE EN ÁNGULO DE 90 GRADOS. TIPO: YASARGIL. LONGITUD DE QUIJADA: 7 MM. APERTURA: 7.2 MM. FUERZA EN GRAMOS: 200. PIEZA.</v>
          </cell>
          <cell r="U2460">
            <v>52</v>
          </cell>
          <cell r="V2460">
            <v>126</v>
          </cell>
        </row>
        <row r="2461">
          <cell r="A2461">
            <v>2458</v>
          </cell>
          <cell r="B2461" t="str">
            <v>060.446.0840</v>
          </cell>
          <cell r="E2461" t="str">
            <v>GRAPAS. PARA ANEURISMA TAMAÑO ESTÁNDAR DE MATERIAL NO MAGNÉTICO PERMANENTE EN BAYONETA. TIPO: YASARGIL. LONGITUD DE QUIJADA: 20 MM. APERTURA: 13.0 MM FUERZA EN GRAMOS: 180. PIEZA.</v>
          </cell>
          <cell r="U2461">
            <v>9</v>
          </cell>
          <cell r="V2461">
            <v>21</v>
          </cell>
        </row>
        <row r="2462">
          <cell r="A2462">
            <v>2459</v>
          </cell>
          <cell r="B2462" t="str">
            <v>060.446.0873</v>
          </cell>
          <cell r="E2462" t="str">
            <v>GRAPAS. PARA PIEL CABELLUDA. METÁLICAS. TIPO: RANEY. INFANTIL. ENVASE CON 150 PIEZAS.</v>
          </cell>
          <cell r="U2462">
            <v>60</v>
          </cell>
          <cell r="V2462">
            <v>146</v>
          </cell>
        </row>
        <row r="2463">
          <cell r="A2463">
            <v>2460</v>
          </cell>
          <cell r="B2463" t="str">
            <v>060.446.1053</v>
          </cell>
          <cell r="E2463" t="str">
            <v>GRAPAS. PARA ANEURISMA TAMAÑO ESTÁNDAR DE MATERIAL NO MAGNÉTICO PERMANENTE EN BAYONETA. TIPO: YASARGIL. LONGITUD DE QUIJADA: 7 MM. APERTURA: 7.9 MM. FUERZA EN GRAMOS: 200. PIEZA.</v>
          </cell>
          <cell r="U2463">
            <v>782</v>
          </cell>
          <cell r="V2463">
            <v>1954</v>
          </cell>
        </row>
        <row r="2464">
          <cell r="A2464">
            <v>2461</v>
          </cell>
          <cell r="B2464" t="str">
            <v>060.446.1079</v>
          </cell>
          <cell r="E2464" t="str">
            <v>GRAPAS. PARA ANEURISMA TAMAÑO ESTÁNDAR DE MATERIAL NO MAGNÉTICO PERMANENTE EN BAYONETA. TIPO: YASARGIL. LONGITUD DE QUIJADA: 9 MM. APERTURA: 8.7 MM FUERZA EN GRAMOS: 200. PIEZA.</v>
          </cell>
          <cell r="U2464">
            <v>1329</v>
          </cell>
          <cell r="V2464">
            <v>3321</v>
          </cell>
        </row>
        <row r="2465">
          <cell r="A2465">
            <v>2462</v>
          </cell>
          <cell r="B2465" t="str">
            <v>060.446.1087</v>
          </cell>
          <cell r="E2465" t="str">
            <v>GRAPAS. PARA ANEURISMA TAMAÑO ESTÁNDAR DE MATERIAL NO MAGNÉTICO PERMANENTE RECTA. TIPO: YASARGIL. LONGITUD DE QUIJADA: 11 MM. APERTURA: 7.8 MM. FUERZA EN GRAMOS: 180. PIEZA.</v>
          </cell>
          <cell r="U2465">
            <v>131</v>
          </cell>
          <cell r="V2465">
            <v>325</v>
          </cell>
        </row>
        <row r="2466">
          <cell r="A2466">
            <v>2463</v>
          </cell>
          <cell r="B2466" t="str">
            <v>060.446.1152</v>
          </cell>
          <cell r="E2466" t="str">
            <v>GRAPAS. PARA ANEURISMA TAMAÑO ESTÁNDAR DE MATERIAL NO MAGNÉTICO PERMANENTE CURVA. TIPO: YASARGIL. LONGITUD DE QUIJADA: 7 MM. APERTURA: 6.0 MM. FUERZA EN GRAMOS: 150. PIEZA.</v>
          </cell>
          <cell r="U2466">
            <v>376</v>
          </cell>
          <cell r="V2466">
            <v>940</v>
          </cell>
        </row>
        <row r="2467">
          <cell r="A2467">
            <v>2464</v>
          </cell>
          <cell r="B2467" t="str">
            <v>060.446.1160</v>
          </cell>
          <cell r="E2467" t="str">
            <v>GRAPAS. PARA ANEURISMA TAMAÑO ESTÁNDAR DE MATERIAL NO MAGNÉTICO PERMANENTE CURVA. TIPO: YASARGIL. LONGITUD DE QUIJADA: 11 MM. APERTURA: 7.5 MM. FUERZA EN GRAMOS: 180. PIEZA.</v>
          </cell>
          <cell r="U2467">
            <v>160</v>
          </cell>
          <cell r="V2467">
            <v>397</v>
          </cell>
        </row>
        <row r="2468">
          <cell r="A2468">
            <v>2465</v>
          </cell>
          <cell r="B2468" t="str">
            <v>060.446.1228</v>
          </cell>
          <cell r="E2468" t="str">
            <v>GRAPAS. PARA ANEURISMA TAMAÑO MINI DE MATERIAL NO MAGNÉTICO PERMANENTE RECTA.TIPO: YASARGIL. LONGITUD DE QUIJADA 3 MM. APERTURA: 3.3 MM. FUERZA EN GRAMOS: 110 PIEZA</v>
          </cell>
          <cell r="U2468">
            <v>12</v>
          </cell>
          <cell r="V2468">
            <v>29</v>
          </cell>
        </row>
        <row r="2469">
          <cell r="A2469">
            <v>2466</v>
          </cell>
          <cell r="B2469" t="str">
            <v>060.446.1236</v>
          </cell>
          <cell r="E2469" t="str">
            <v>GRAPAS. PARA ANEURISMA TAMAÑO MINI DE MATERIAL NO MAGNÉTICO PERMANENTE RECTA. TIPO: YASARGIL. LONGITUD DE QUIJADA: 5 MM. APERTURA: 4.0 MM. FUERZA EN GRAMOS: 110. PIEZA</v>
          </cell>
          <cell r="U2469">
            <v>1095</v>
          </cell>
          <cell r="V2469">
            <v>2736</v>
          </cell>
        </row>
        <row r="2470">
          <cell r="A2470">
            <v>2467</v>
          </cell>
          <cell r="B2470" t="str">
            <v>060.446.1244</v>
          </cell>
          <cell r="E2470" t="str">
            <v>GRAPAS. PARA ANEURISMA TAMAÑO MINI DE MATERIAL NO MAGNÉTICO PERMANENTE RECTA. TIPO: YASARGIL. LONGITUD DE QUIJADA: 7 MM. APERTURA: 4.0 MM. FUERZA EN GRAMOS: 110.PIEZA</v>
          </cell>
          <cell r="U2470">
            <v>92</v>
          </cell>
          <cell r="V2470">
            <v>229</v>
          </cell>
        </row>
        <row r="2471">
          <cell r="A2471">
            <v>2468</v>
          </cell>
          <cell r="B2471" t="str">
            <v>060.446.1269</v>
          </cell>
          <cell r="E2471" t="str">
            <v>GRAPAS. PARA ANEURISMA TAMAÑO MINI DE MATERIAL NO MAGNÉTICO PERMANENTE CURVA. TIPO: YASARGIL. LONGITUD DE APERTURA: FUERZA QUIJADA: EN GRAMOS: 5 MM. 3.5 MM. 110. PIEZA.</v>
          </cell>
          <cell r="U2471">
            <v>55</v>
          </cell>
          <cell r="V2471">
            <v>135</v>
          </cell>
        </row>
        <row r="2472">
          <cell r="A2472">
            <v>2469</v>
          </cell>
          <cell r="B2472" t="str">
            <v>060.446.1277</v>
          </cell>
          <cell r="E2472" t="str">
            <v>GRAPAS. PARA ANEURISMA TAMAÑO MINI DE MATERIAL NO MAGNÉTICO PERMANENTE CURVA. TIPO: YASARGIL. LONGITUD DE APERTURA: 5 MM. FUERZA QUIJADA: 3.6 MM. EN GRAMOS: 110. PIEZA.</v>
          </cell>
          <cell r="U2472">
            <v>9</v>
          </cell>
          <cell r="V2472">
            <v>21</v>
          </cell>
        </row>
        <row r="2473">
          <cell r="A2473">
            <v>2470</v>
          </cell>
          <cell r="B2473" t="str">
            <v>060.446.1285</v>
          </cell>
          <cell r="E2473" t="str">
            <v>GRAPAS. PARA ANEURISMA, TAMAÑO MINI, DE MATERIAL NO MAGNETICO, PERMANENTE,CURVA. TIPO: YASARGIL. LONGITUD DE QUIJADA: 5 MM. APERTURA: 3.5 MM. FUERZA ENGRAMOS: 130. PIEZA.</v>
          </cell>
          <cell r="U2473">
            <v>229</v>
          </cell>
          <cell r="V2473">
            <v>569</v>
          </cell>
        </row>
        <row r="2474">
          <cell r="A2474">
            <v>2471</v>
          </cell>
          <cell r="B2474" t="str">
            <v>060.446.1350</v>
          </cell>
          <cell r="E2474" t="str">
            <v>GRAPAS. PARA ANEURISMA TAMAÑO MINI DE MATERIAL NO MAGNÉTICO TEMPORAL RECTA. TIPO: YASARGIL. LONGITUD DE QUIJADA: 5 MM. APERTURA: 4.0 MM. FUERZA EN GRAMOS: 50. PIEZA.</v>
          </cell>
          <cell r="U2474">
            <v>9</v>
          </cell>
          <cell r="V2474">
            <v>21</v>
          </cell>
        </row>
        <row r="2475">
          <cell r="A2475">
            <v>2472</v>
          </cell>
          <cell r="B2475" t="str">
            <v>060.446.1368</v>
          </cell>
          <cell r="E2475" t="str">
            <v>GRAPAS. PARA ANEURISMA TAMAÑO MINI DE MATERIAL NO MAGNÉTICO TEMPORAL RECTA. TIPO: YASARGIL. LONGITUD DE QUIJADA: 7 MM. APERTURA: 4.6 MM. FUERZA EN GRAMOS: 70. PIEZA.</v>
          </cell>
          <cell r="U2475">
            <v>288</v>
          </cell>
          <cell r="V2475">
            <v>716</v>
          </cell>
        </row>
        <row r="2476">
          <cell r="A2476">
            <v>2473</v>
          </cell>
          <cell r="B2476" t="str">
            <v>060.446.1384</v>
          </cell>
          <cell r="E2476" t="str">
            <v>GRAPAS. PARA ANEURISMA TAMAÑO MINI DE MATERIAL NO MAGNÉTICO, TEMPORAL, CURVA. TIPO: YASARGIL. LONGITUD DE QUIJADA: 7 MM. APERTURA: 4.4 MM. FUERZA EN GRAMOS: 70. PIEZA.</v>
          </cell>
          <cell r="U2476">
            <v>9</v>
          </cell>
          <cell r="V2476">
            <v>21</v>
          </cell>
        </row>
        <row r="2477">
          <cell r="A2477">
            <v>2474</v>
          </cell>
          <cell r="B2477" t="str">
            <v>060.446.1400</v>
          </cell>
          <cell r="E2477" t="str">
            <v>GRAPAS. PARA ANEURISMA TAMAÑO ESTANDAR DE MATERIAL NO MAGNETICO PERMANENTERECTA. TIPO: YASARGIL. LONGITUD DE QUIJADA: 7 MM. APERTURA: 6.2 MM. FUERZA ENGRAMOS: 150. PIEZA.</v>
          </cell>
          <cell r="U2477">
            <v>490</v>
          </cell>
          <cell r="V2477">
            <v>1224</v>
          </cell>
        </row>
        <row r="2478">
          <cell r="A2478">
            <v>2475</v>
          </cell>
          <cell r="B2478" t="str">
            <v>060.446.1418</v>
          </cell>
          <cell r="E2478" t="str">
            <v>GRAPAS. PARA ANEURISMA TAMAÑO ESTANDAR DE MATERIAL NO MAGNETICO PERMANENTERECTA. TIPO: YASARGIL. LONGITUD DE QUIJADA: 9 MM. APERTURA: 7.0 MM. FUERZA ENGRAMOS: 180. PIEZA.</v>
          </cell>
          <cell r="U2478">
            <v>88</v>
          </cell>
          <cell r="V2478">
            <v>216</v>
          </cell>
        </row>
        <row r="2479">
          <cell r="A2479">
            <v>2476</v>
          </cell>
          <cell r="B2479" t="str">
            <v>060.446.1897</v>
          </cell>
          <cell r="E2479" t="str">
            <v>GRAPAS. PARA ANEURISMA TAMAÑO ESTÁNDAR DE MATERIAL NO MAGNÉTICO PERMANENTE RECTA. TIPO: YASARGIL. LONGITUD DE QUIJADA: 15 MM. APERTURA: 9.2 MM. FUERZA EN GRAMOS: 200. PIEZA.</v>
          </cell>
          <cell r="U2479">
            <v>56</v>
          </cell>
          <cell r="V2479">
            <v>138</v>
          </cell>
        </row>
        <row r="2480">
          <cell r="A2480">
            <v>2477</v>
          </cell>
          <cell r="B2480" t="str">
            <v>060.446.1905</v>
          </cell>
          <cell r="E2480" t="str">
            <v>GRAPAS. PARA ANEURISMA TAMAÑO ESTÁNDAR DE MATERIAL NO MAGNÉTICO PERMANENTE RECTA. TIPO: YASARGIL. LONGITUD DE QUIJADA: 20 MM. APERTURA: 11.4 MM. FUERZA EN GRAMOS: 200. PIEZA.</v>
          </cell>
          <cell r="U2480">
            <v>70</v>
          </cell>
          <cell r="V2480">
            <v>172</v>
          </cell>
        </row>
        <row r="2481">
          <cell r="A2481">
            <v>2478</v>
          </cell>
          <cell r="B2481" t="str">
            <v>060.446.1913</v>
          </cell>
          <cell r="E2481" t="str">
            <v>GRAPAS. PARA ANEURISMA TAMAÑO ESTÁNDAR DE MATERIAL NO MAGNÉTICO PERMANENTE RECTA. TIPO: YASARGIL. LONGITUD DE QUIJADA: 25 MM. APERTURA: 13.3 MM. FUERZA EN GRAMOS: 180. PIEZA.</v>
          </cell>
          <cell r="U2481">
            <v>9</v>
          </cell>
          <cell r="V2481">
            <v>21</v>
          </cell>
        </row>
        <row r="2482">
          <cell r="A2482">
            <v>2479</v>
          </cell>
          <cell r="B2482" t="str">
            <v>060.446.1947</v>
          </cell>
          <cell r="E2482" t="str">
            <v>GRAPAS. PARA ANEURISMA TAMAÑO ESTÁNDAR DE MATERIAL NO MAGNÉTICO TEMPORAL CURVA. TIPO: YASARGIL. LONGITUD DE QUIJADA: 15 MM. APERTURA: 7.4 MM. FUERZA EN GRAMOS: 70. PIEZA.</v>
          </cell>
          <cell r="U2482">
            <v>9</v>
          </cell>
          <cell r="V2482">
            <v>21</v>
          </cell>
        </row>
        <row r="2483">
          <cell r="A2483">
            <v>2480</v>
          </cell>
          <cell r="B2483" t="str">
            <v>060.446.1954</v>
          </cell>
          <cell r="E2483" t="str">
            <v>GRAPAS. PARA ANEURISMA TAMAÑO ESTÁNDAR DE MATERIAL NO MAGNÉTICO TEMPORAL CURVA. TIPO: YASARGIL. LONGITUD DE QUIJADA: 15 MM. APERTURA: 8.7 MM. FUERZA EN GRAMOS: 70. PIEZA.</v>
          </cell>
          <cell r="U2483">
            <v>9</v>
          </cell>
          <cell r="V2483">
            <v>21</v>
          </cell>
        </row>
        <row r="2484">
          <cell r="A2484">
            <v>2481</v>
          </cell>
          <cell r="B2484" t="str">
            <v>060.446.1962</v>
          </cell>
          <cell r="E2484" t="str">
            <v>GRAPAS. PARA ANEURISMA TAMAÑO ESTÁNDAR DE MATERIAL NO MAGNÉTICO TEMPORAL CURVA. TIPO: YASARGIL. LONGITUD DE QUIJADA: 20 MM. APERTURA: 11.0 MM. FUERZA EN GRAMOS: 90. PIEZA.</v>
          </cell>
          <cell r="U2484">
            <v>9</v>
          </cell>
          <cell r="V2484">
            <v>21</v>
          </cell>
        </row>
        <row r="2485">
          <cell r="A2485">
            <v>2482</v>
          </cell>
          <cell r="B2485" t="str">
            <v>060.446.1970</v>
          </cell>
          <cell r="E2485" t="str">
            <v>GRAPAS. PARA ANEURISMA TAMAÑO ESTÁNDAR DE MATERIAL NO MAGNÉTICO TEMPORAL CURVA. TIPO: YASARGIL. LONGITUD DE QUIJADA: 9 MM. APERTURA: 6.1 MM. FUERZA EN GRAMOS: 70. PIEZA.</v>
          </cell>
          <cell r="U2485">
            <v>104</v>
          </cell>
          <cell r="V2485">
            <v>260</v>
          </cell>
        </row>
        <row r="2486">
          <cell r="A2486">
            <v>2483</v>
          </cell>
          <cell r="B2486" t="str">
            <v>060.446.1988</v>
          </cell>
          <cell r="E2486" t="str">
            <v>GRAPAS. PARA ANEURISMA TAMAÑO ESTÁNDAR DE MATERIAL NO MAGNÉTICO TEMPORAL CURVA. TIPO: YASARGIL. LONGITUD DE QUIJADA: 9 MM. APERTURA: 6.8 MM. FUERZA EN GRAMOS: 70. PIEZA.</v>
          </cell>
          <cell r="U2486">
            <v>86</v>
          </cell>
          <cell r="V2486">
            <v>213</v>
          </cell>
        </row>
        <row r="2487">
          <cell r="A2487">
            <v>2484</v>
          </cell>
          <cell r="B2487" t="str">
            <v>060.446.1996</v>
          </cell>
          <cell r="E2487" t="str">
            <v>GRAPAS. PARA ANEURISMA TAMAÑO ESTÁNDAR DE MATERIAL NO MAGNÉTICO TEMPORAL RECTA. TIPO: YASARGIL. LONGITUD DE QUIJADA: 15 MM. APERTURA: 9.2 MM. FUERZA EN GRAMOS: 70. PIEZA.</v>
          </cell>
          <cell r="U2487">
            <v>9</v>
          </cell>
          <cell r="V2487">
            <v>21</v>
          </cell>
        </row>
        <row r="2488">
          <cell r="A2488">
            <v>2485</v>
          </cell>
          <cell r="B2488" t="str">
            <v>060.446.2002</v>
          </cell>
          <cell r="E2488" t="str">
            <v>GRAPAS. PARA ANEURISMA TAMAÑO ESTÁNDAR DE MATERIAL NO MAGNÉTICO TEMPORAL RECTA. TIPO: YASARGIL. LONGITUD DE QUIJADA: 20 MM. APERTURA: 11.4 MM. FUERZA EN GRAMOS: 90. PIEZA.</v>
          </cell>
          <cell r="U2488">
            <v>9</v>
          </cell>
          <cell r="V2488">
            <v>21</v>
          </cell>
        </row>
        <row r="2489">
          <cell r="A2489">
            <v>2486</v>
          </cell>
          <cell r="B2489" t="str">
            <v>060.446.2010</v>
          </cell>
          <cell r="E2489" t="str">
            <v>GRAPAS. PARA ANEURISMA TAMAÑO ESTÁNDAR DE MATERIAL NO MAGNÉTICO TEMPORAL RECTA. TIPO: YASARGIL. LONGITUD DE QUIJADA: 9 MM. APERTURA: 7.0 MM. FUERZA EN GRAMOS: 70. PIEZA.</v>
          </cell>
          <cell r="U2489">
            <v>2310</v>
          </cell>
          <cell r="V2489">
            <v>5772</v>
          </cell>
        </row>
        <row r="2490">
          <cell r="A2490">
            <v>2487</v>
          </cell>
          <cell r="B2490" t="str">
            <v>060.446.2028</v>
          </cell>
          <cell r="E2490" t="str">
            <v>GRAPAS. PARA ANEURISMA TAMAÑO ESTANDAR FENESTRADA DE MATERIAL NO MAGNETICOPERMANENTE CON UN DIAMETRO DE FENESTRACION EN UN RANGO DE 3.0 A 3.5 MM EN ANGULODE 45 GRADOS. TIPO: YASARGIL. LONGITUD DE QUIJADA: 10/14 MM. APERTURA: 7.2 MM.FUERZA EN GRAMOS: 180. PIEZA.</v>
          </cell>
          <cell r="U2490">
            <v>147</v>
          </cell>
          <cell r="V2490">
            <v>366</v>
          </cell>
        </row>
        <row r="2491">
          <cell r="A2491">
            <v>2488</v>
          </cell>
          <cell r="B2491" t="str">
            <v>060.446.2036</v>
          </cell>
          <cell r="E2491" t="str">
            <v>GRAPAS. PARA ANEURISMA TAMAÑO ESTANDAR FENESTRADA DE MATERIAL NO MAGNETICOPERMANENTE CON UN DIAMETRO DE FENESTRACION DE 5.0 MM EN BAYONETA. TIPO:YASARGIL. LONGITUD DE QUIJADA: 5/14.8 MM. APERTURA: 7.9 MM. FUERZA EN GRAMOS:150. PIEZA.</v>
          </cell>
          <cell r="U2491">
            <v>259</v>
          </cell>
          <cell r="V2491">
            <v>645</v>
          </cell>
        </row>
        <row r="2492">
          <cell r="A2492">
            <v>2489</v>
          </cell>
          <cell r="B2492" t="str">
            <v>060.446.2044</v>
          </cell>
          <cell r="E2492" t="str">
            <v>GRAPAS. PARA ANEURISMA TAMAÑO ESTANDAR FENESTRADA DE MATERIAL NO MAGNETICOPERMANENTE CON UN DIAMETRO DE FENESTRACION DE 5.0 MM EN ANGULO DE 45 GRADOS.TIPO: YASARGIL. LONGITUD DE QUIJADA: 10/15.5 MM APERTURA: 7.8 MM FUERZA ENGRAMOS: 180. PIEZA.</v>
          </cell>
          <cell r="U2492">
            <v>71</v>
          </cell>
          <cell r="V2492">
            <v>175</v>
          </cell>
        </row>
        <row r="2493">
          <cell r="A2493">
            <v>2490</v>
          </cell>
          <cell r="B2493" t="str">
            <v>060.446.2069</v>
          </cell>
          <cell r="E2493" t="str">
            <v>GRAPAS. PARA ANEURISMA, TAMAÑO ESTANDAR, FENESTRADA, DE MATERIAL NO MAGNETICO,PERMANENTE, CON UN DIAMETRO DE FENESTRACION DE 5.0 MM, RECTA. TIPO: YASARGIL.LONGITUD DE QUIJADA: 9/15.7 MM. APERTURA: 9.1 MM. FUERZA EN GRAMOS: 150. PIEZA.</v>
          </cell>
          <cell r="U2493">
            <v>233</v>
          </cell>
          <cell r="V2493">
            <v>581</v>
          </cell>
        </row>
        <row r="2494">
          <cell r="A2494">
            <v>2491</v>
          </cell>
          <cell r="B2494" t="str">
            <v>060.446.2077</v>
          </cell>
          <cell r="E2494" t="str">
            <v>GRAPAS. PARA ANEURISMA, TAMAÑO ESTANDAR, FENESTRADA, DE MATERIAL NO MAGNETICO,PERMANENTE, CON UN DIAMETRO DE FENESTRACION DE 5.0 MM, RECTA. TIPO: YASARGIL.LONGITUD DE QUIJADA: 12/18.7 MM APERTURA: 10.3 MM. FUERZA EN GRAMOS: 180. PIEZA.</v>
          </cell>
          <cell r="U2494">
            <v>276</v>
          </cell>
          <cell r="V2494">
            <v>688</v>
          </cell>
        </row>
        <row r="2495">
          <cell r="A2495">
            <v>2492</v>
          </cell>
          <cell r="B2495" t="str">
            <v>060.446.2085</v>
          </cell>
          <cell r="E2495" t="str">
            <v>GRAPAS. PARA ANEURISMA, TAMAÑO ESTANDAR, FENESTRADA, DE MATERIAL NO MAGNETICO,PERMANENTE CON UN DIAMETRO DE FENESTRACION DE 5.0 MM, EN ANGULO DE 45 GRADOS.TIPO: YASARGIL. LONGITUD DE QUIJADA: 7.5/13 MM APERTURA: 7.2 MM FUERZA ENGRAMOS: 150. PIEZA.</v>
          </cell>
          <cell r="U2495">
            <v>74</v>
          </cell>
          <cell r="V2495">
            <v>181</v>
          </cell>
        </row>
        <row r="2496">
          <cell r="A2496">
            <v>2493</v>
          </cell>
          <cell r="B2496" t="str">
            <v>060.446.2176</v>
          </cell>
          <cell r="E2496" t="str">
            <v>GRAPAS. PARA ANEURISMA TAMAÑO ESTANDAR FENESTRADA DE MATERIAL NO MAGNETICOPERMANENTE CON UN DIAMETRO DE FENESTRACION EN UN RANGO DE 3.0 A 3.5 MM EN ANGULODE 90 GRADOS. TIPO: YASARGIL. LONGITUD DE QUIJADA: 10/14.6 MM APERTURA: 4.9 MMFUERZA EN GRAMOS: 180. PIEZA.</v>
          </cell>
          <cell r="U2496">
            <v>112</v>
          </cell>
          <cell r="V2496">
            <v>276</v>
          </cell>
        </row>
        <row r="2497">
          <cell r="A2497">
            <v>2494</v>
          </cell>
          <cell r="B2497" t="str">
            <v>060.446.2192</v>
          </cell>
          <cell r="E2497" t="str">
            <v>GRAPAS. PARA ANEURISMA TAMAÑO ESTANDAR FENESTRADA DE MATERIAL NO MAGNETICOPERMANENTE CON UN DIAMETRO DE FENESTRACION EN UN RANGO DE 3.0 A 3.5 MM RECTA.TIPO: YASARGIL. LONGITUD DE QUIJADA: 6/11 MM APERTURA: 7.4 MM FUERZA EN GRAMOS:150. PIEZA.</v>
          </cell>
          <cell r="U2497">
            <v>78</v>
          </cell>
          <cell r="V2497">
            <v>192</v>
          </cell>
        </row>
        <row r="2498">
          <cell r="A2498">
            <v>2495</v>
          </cell>
          <cell r="B2498" t="str">
            <v>060.446.2200</v>
          </cell>
          <cell r="E2498" t="str">
            <v>GRAPAS. PARA ANEURISMA TAMAÑO ESTANDAR FENESTRADA DE MATERIAL NO MAGNETICOPERMANENTE CON UN DIAMETRO DE FENESTRACION EN UN RANGO DE 3.0 A 3.5 MM RECTA.TIPO: YASARGIL. LONGITUD DE QUIJADA: 12/17 MM APERTURA: 9.6 MM FUERZA EN GRAMOS:180. PIEZA.</v>
          </cell>
          <cell r="U2498">
            <v>78</v>
          </cell>
          <cell r="V2498">
            <v>194</v>
          </cell>
        </row>
        <row r="2499">
          <cell r="A2499">
            <v>2496</v>
          </cell>
          <cell r="B2499" t="str">
            <v>060.456.0037</v>
          </cell>
          <cell r="E2499" t="str">
            <v>GUANTES. PARA EXPLORACION, AMBIDIESTRO, ESTERILES. DE POLIETILENO, DESECHABLES.TAMAÑOS: MEDIANO. ENVASE CON 100 PIEZAS.</v>
          </cell>
          <cell r="U2499">
            <v>180400</v>
          </cell>
          <cell r="V2499">
            <v>450998</v>
          </cell>
        </row>
        <row r="2500">
          <cell r="A2500">
            <v>2497</v>
          </cell>
          <cell r="B2500" t="str">
            <v>060.456.0045</v>
          </cell>
          <cell r="E2500" t="str">
            <v>GUANTES. PARA EXPLORACION, AMBIDIESTRO, ESTERILES. DE POLIETILENO, DESECHABLES.TAMAÑOS: GRANDE. ENVASE CON 100 PIEZAS.</v>
          </cell>
          <cell r="U2500">
            <v>93584</v>
          </cell>
          <cell r="V2500">
            <v>233956</v>
          </cell>
        </row>
        <row r="2501">
          <cell r="A2501">
            <v>2498</v>
          </cell>
          <cell r="B2501" t="str">
            <v>060.456.0300</v>
          </cell>
          <cell r="E2501" t="str">
            <v>Guantes. Para cirugía. De látex natural estériles y desechables. Tallas: 6 1/2 Par.</v>
          </cell>
          <cell r="U2501">
            <v>13834576</v>
          </cell>
          <cell r="V2501">
            <v>34586438</v>
          </cell>
        </row>
        <row r="2502">
          <cell r="A2502">
            <v>2499</v>
          </cell>
          <cell r="B2502" t="str">
            <v>060.456.0318</v>
          </cell>
          <cell r="E2502" t="str">
            <v>Guantes. Para cirugía. De látex natural estériles y desechables. Tallas: 7 Par.</v>
          </cell>
          <cell r="U2502">
            <v>13336141</v>
          </cell>
          <cell r="V2502">
            <v>33340352</v>
          </cell>
        </row>
        <row r="2503">
          <cell r="A2503">
            <v>2500</v>
          </cell>
          <cell r="B2503" t="str">
            <v>060.456.0334</v>
          </cell>
          <cell r="E2503" t="str">
            <v>Guantes. Para cirugía. De látex natural estériles y desechables. Tallas: 7 1/2 Par.</v>
          </cell>
          <cell r="U2503">
            <v>11998514</v>
          </cell>
          <cell r="V2503">
            <v>29996283</v>
          </cell>
        </row>
        <row r="2504">
          <cell r="A2504">
            <v>2501</v>
          </cell>
          <cell r="B2504" t="str">
            <v>060.456.0359</v>
          </cell>
          <cell r="E2504" t="str">
            <v>Guantes. Para cirugía. De látex natural estériles y desechables. Tallas: 8 Par.</v>
          </cell>
          <cell r="U2504">
            <v>5567780</v>
          </cell>
          <cell r="V2504">
            <v>13919448</v>
          </cell>
        </row>
        <row r="2505">
          <cell r="A2505">
            <v>2502</v>
          </cell>
          <cell r="B2505" t="str">
            <v>060.456.0367</v>
          </cell>
          <cell r="E2505" t="str">
            <v>Guantes. Para cirugía. De látex natural estériles y desechables. Tallas: 8 1/2 Par.</v>
          </cell>
          <cell r="U2505">
            <v>1054516</v>
          </cell>
          <cell r="V2505">
            <v>2636288</v>
          </cell>
        </row>
        <row r="2506">
          <cell r="A2506">
            <v>2503</v>
          </cell>
          <cell r="B2506" t="str">
            <v>060.456.0383</v>
          </cell>
          <cell r="E2506" t="str">
            <v>Guantes. Para exploración ambidiestro estériles. De látex desechables. Tamaños: Chico. Envase con 100 piezas.</v>
          </cell>
          <cell r="U2506">
            <v>1089802</v>
          </cell>
          <cell r="V2506">
            <v>2724504</v>
          </cell>
        </row>
        <row r="2507">
          <cell r="A2507">
            <v>2504</v>
          </cell>
          <cell r="B2507" t="str">
            <v>060.456.0391</v>
          </cell>
          <cell r="E2507" t="str">
            <v>Guantes. Para exploración ambidiestro estériles. De látex desechables. Tamaños: Mediano. Envase con 100 piezas.</v>
          </cell>
          <cell r="U2507">
            <v>2718600</v>
          </cell>
          <cell r="V2507">
            <v>6796496</v>
          </cell>
        </row>
        <row r="2508">
          <cell r="A2508">
            <v>2505</v>
          </cell>
          <cell r="B2508" t="str">
            <v>060.456.0409</v>
          </cell>
          <cell r="E2508" t="str">
            <v>Guantes. Para exploración ambidiestro estériles. De látex desechables. Tamaños: Grande. Envase con 100 piezas.</v>
          </cell>
          <cell r="U2508">
            <v>1195936</v>
          </cell>
          <cell r="V2508">
            <v>2989839</v>
          </cell>
        </row>
        <row r="2509">
          <cell r="A2509">
            <v>2506</v>
          </cell>
          <cell r="B2509" t="str">
            <v>060.456.0623</v>
          </cell>
          <cell r="E2509" t="str">
            <v>Guantes. de nitrilo o polibutadine-acrylonitrilo libre de látex ambidiestro desechable estéril. Tamaño: Chico Par.</v>
          </cell>
          <cell r="U2509">
            <v>1610612</v>
          </cell>
          <cell r="V2509">
            <v>4026530</v>
          </cell>
        </row>
        <row r="2510">
          <cell r="A2510">
            <v>2507</v>
          </cell>
          <cell r="B2510" t="str">
            <v>060.456.0631</v>
          </cell>
          <cell r="E2510" t="str">
            <v>Guantes. de nitrilo o polibutadine-acrylonitrilo libre de látex ambidiestro desechable estéril. Tamaño: Mediano Par.</v>
          </cell>
          <cell r="U2510">
            <v>2181612</v>
          </cell>
          <cell r="V2510">
            <v>5454026</v>
          </cell>
        </row>
        <row r="2511">
          <cell r="A2511">
            <v>2508</v>
          </cell>
          <cell r="B2511" t="str">
            <v>060.456.0649</v>
          </cell>
          <cell r="E2511" t="str">
            <v>Guantes. de nitrilo o polibutadine-acrylonitrilo libre de látex ambidiestro desechable estéril. Tamaño: Grande Par.</v>
          </cell>
          <cell r="U2511">
            <v>1408058</v>
          </cell>
          <cell r="V2511">
            <v>3520142</v>
          </cell>
        </row>
        <row r="2512">
          <cell r="A2512">
            <v>2509</v>
          </cell>
          <cell r="B2512" t="str">
            <v>060.456.0656</v>
          </cell>
          <cell r="E2512" t="str">
            <v>Guantes. Para exploración, ambidiestro, no estériles. De látex, desechables. Tamaños: Chico. Envase con 100 piezas.</v>
          </cell>
          <cell r="U2512">
            <v>329003</v>
          </cell>
          <cell r="V2512">
            <v>822505</v>
          </cell>
        </row>
        <row r="2513">
          <cell r="A2513">
            <v>2510</v>
          </cell>
          <cell r="B2513" t="str">
            <v>060.456.0664</v>
          </cell>
          <cell r="E2513" t="str">
            <v>Guantes. Para exploración, ambidiestro, no estériles. De látex, desechables. Tamaños: Mediano. Envase con 100 piezas.</v>
          </cell>
          <cell r="U2513">
            <v>519270</v>
          </cell>
          <cell r="V2513">
            <v>1298175</v>
          </cell>
        </row>
        <row r="2514">
          <cell r="A2514">
            <v>2511</v>
          </cell>
          <cell r="B2514" t="str">
            <v>060.456.0672</v>
          </cell>
          <cell r="E2514" t="str">
            <v>Guantes. Para exploración, ambidiestro, no estériles. De látex, desechables. Tamaños: Grande. Envase con 100 piezas.</v>
          </cell>
          <cell r="U2514">
            <v>504130</v>
          </cell>
          <cell r="V2514">
            <v>1260322</v>
          </cell>
        </row>
        <row r="2515">
          <cell r="A2515">
            <v>2512</v>
          </cell>
          <cell r="B2515" t="str">
            <v>060.456.0680</v>
          </cell>
          <cell r="E2515" t="str">
            <v>GUANTES. Guantes para exploración, ambidiestro, no estériles. De látex, desechables. Tamaño chico. Envase con 200 piezas.</v>
          </cell>
          <cell r="U2515">
            <v>89775</v>
          </cell>
          <cell r="V2515">
            <v>224435</v>
          </cell>
        </row>
        <row r="2516">
          <cell r="A2516">
            <v>2513</v>
          </cell>
          <cell r="B2516" t="str">
            <v>060.456.0698</v>
          </cell>
          <cell r="E2516" t="str">
            <v>GUANTES. Guantes para exploración, ambidiestro, no estériles. De látex, desechables. Tamaño mediano. Envase con 200 piezas.</v>
          </cell>
          <cell r="U2516">
            <v>106259</v>
          </cell>
          <cell r="V2516">
            <v>265646</v>
          </cell>
        </row>
        <row r="2517">
          <cell r="A2517">
            <v>2514</v>
          </cell>
          <cell r="B2517" t="str">
            <v>060.456.0706</v>
          </cell>
          <cell r="E2517" t="str">
            <v>GUANTES. Guantes para exploración, ambidiestro, no estériles. De látex, desechables. Tamaño grande. Envase con 200 piezas.</v>
          </cell>
          <cell r="U2517">
            <v>71017</v>
          </cell>
          <cell r="V2517">
            <v>177540</v>
          </cell>
        </row>
        <row r="2518">
          <cell r="A2518">
            <v>2515</v>
          </cell>
          <cell r="B2518" t="str">
            <v>060.461.0147</v>
          </cell>
          <cell r="E2518" t="str">
            <v>Guatas. De tela no tejida de algodón 100% o mezclas de fibras de algodón y fibras artificiales y/o sintéticas. Longitud: 5 M Ancho: 5 cm. Envase con 24 piezas.</v>
          </cell>
          <cell r="U2518">
            <v>46170</v>
          </cell>
          <cell r="V2518">
            <v>115424</v>
          </cell>
        </row>
        <row r="2519">
          <cell r="A2519">
            <v>2516</v>
          </cell>
          <cell r="B2519" t="str">
            <v>060.461.0154</v>
          </cell>
          <cell r="E2519" t="str">
            <v>Guatas. De tela no tejida de algodón 100% o mezclas de fibras de algodón y fibras artificiales y/o sintéticas. Longitud: 5 M Ancho: 10 cm. Envase con 24 piezas.</v>
          </cell>
          <cell r="U2519">
            <v>106789</v>
          </cell>
          <cell r="V2519">
            <v>266970</v>
          </cell>
        </row>
        <row r="2520">
          <cell r="A2520">
            <v>2517</v>
          </cell>
          <cell r="B2520" t="str">
            <v>060.461.0162</v>
          </cell>
          <cell r="E2520" t="str">
            <v>Guatas. De tela no tejida de algodón 100% o mezclas de fibras de algodón y fibras artificiales y/o sintéticas. Longitud: 5 M Ancho: 15 cm. Envase con 24 piezas.</v>
          </cell>
          <cell r="U2520">
            <v>81562</v>
          </cell>
          <cell r="V2520">
            <v>203903</v>
          </cell>
        </row>
        <row r="2521">
          <cell r="A2521">
            <v>2518</v>
          </cell>
          <cell r="B2521" t="str">
            <v>060.461.0188</v>
          </cell>
          <cell r="E2521" t="str">
            <v>Guatas. De tela no tejida de algodón 100% o mezclas de fibras de algodón y fibras artificiales y/o sintéticas. Longitud: 5 M Ancho: 20 cm. Envase con 24 piezas.</v>
          </cell>
          <cell r="U2521">
            <v>30719</v>
          </cell>
          <cell r="V2521">
            <v>76796</v>
          </cell>
        </row>
        <row r="2522">
          <cell r="A2522">
            <v>2519</v>
          </cell>
          <cell r="B2522" t="str">
            <v>060.461.0261</v>
          </cell>
          <cell r="E2522" t="str">
            <v>Guatas. Sintética de acrílico repelente al agua de secado instantáneo para colocarse con venda inmovilizadora de fibra de vidrio. Longitud: 3.65 M Ancho: 5.0 cm. Pieza.</v>
          </cell>
          <cell r="U2522">
            <v>27868</v>
          </cell>
          <cell r="V2522">
            <v>69668</v>
          </cell>
        </row>
        <row r="2523">
          <cell r="A2523">
            <v>2520</v>
          </cell>
          <cell r="B2523" t="str">
            <v>060.461.0279</v>
          </cell>
          <cell r="E2523" t="str">
            <v>GUATAS. SINTÉTICA DE ACRÍLICO REPELENTE AL AGUA DE SECADO INSTANTÁNEO PARA COLOCARSE CON VENDA INMOVILIZADORA DE FIBRA DE VIDRIO. LONGITUD: 3 65 M ANCHO: 7.6 CM. PIEZA.</v>
          </cell>
          <cell r="U2523">
            <v>12134</v>
          </cell>
          <cell r="V2523">
            <v>30335</v>
          </cell>
        </row>
        <row r="2524">
          <cell r="A2524">
            <v>2521</v>
          </cell>
          <cell r="B2524" t="str">
            <v>060.461.0287</v>
          </cell>
          <cell r="E2524" t="str">
            <v>Guatas. Sintética de acrílico repelente al agua de secado instantáneo para colocarse con venda inmovilizadora de fibra de vidrio. Longitud: 3.65 M Ancho: 10.0 cm. Pieza.</v>
          </cell>
          <cell r="U2524">
            <v>25090</v>
          </cell>
          <cell r="V2524">
            <v>62724</v>
          </cell>
        </row>
        <row r="2525">
          <cell r="A2525">
            <v>2522</v>
          </cell>
          <cell r="B2525" t="str">
            <v>060.463.0681</v>
          </cell>
          <cell r="E2525" t="str">
            <v>GUÍAS METÁLICA RÍGIDA CON PUNTA SUAVE DIÁMETRO 0.035 " LONGITUD 90 CM CON CUBIERTA HIDROFÍLICA. TIPO: LUNDERQUIST. PIEZA.</v>
          </cell>
          <cell r="U2525">
            <v>1264</v>
          </cell>
          <cell r="V2525">
            <v>3156</v>
          </cell>
        </row>
        <row r="2526">
          <cell r="A2526">
            <v>2523</v>
          </cell>
          <cell r="B2526" t="str">
            <v>060.463.0699</v>
          </cell>
          <cell r="E2526" t="str">
            <v>GUIAS METALICA RIGIDA CON PUNTA SUAVE DIAMETRO 0.038" LONGITUD 145 CM CONCUBIERTA HIDROFILICA. TIPO: BENTSON. PIEZA.</v>
          </cell>
          <cell r="U2526">
            <v>996</v>
          </cell>
          <cell r="V2526">
            <v>2486</v>
          </cell>
        </row>
        <row r="2527">
          <cell r="A2527">
            <v>2524</v>
          </cell>
          <cell r="B2527" t="str">
            <v>060.463.0889</v>
          </cell>
          <cell r="E2527" t="str">
            <v>GUIAS. PARA CATETERES. CON PUNTA EN "J " CURVA DE 3 MM. LONGITUD: 150 CMDIAMETRO: 0.035 ". PIEZA.</v>
          </cell>
          <cell r="U2527">
            <v>165</v>
          </cell>
          <cell r="V2527">
            <v>409</v>
          </cell>
        </row>
        <row r="2528">
          <cell r="A2528">
            <v>2525</v>
          </cell>
          <cell r="B2528" t="str">
            <v>060.463.1432</v>
          </cell>
          <cell r="E2528" t="str">
            <v>GUIAS. PARA CATETERES CON PUNTA RECTA FLEXIBLE. LONGITUD: 150 CM. DIAMETRO:0.035”. PIEZA.</v>
          </cell>
          <cell r="U2528">
            <v>326</v>
          </cell>
          <cell r="V2528">
            <v>812</v>
          </cell>
        </row>
        <row r="2529">
          <cell r="A2529">
            <v>2526</v>
          </cell>
          <cell r="B2529" t="str">
            <v>060.463.1804</v>
          </cell>
          <cell r="E2529" t="str">
            <v>GUIAS. PARA CATETERES. CON PUNTA EN "J" CURVADA DE 3 MM. LONGITUD: 150 CMDIAMETRO: 0.038". PIEZA.</v>
          </cell>
          <cell r="U2529">
            <v>474</v>
          </cell>
          <cell r="V2529">
            <v>1185</v>
          </cell>
        </row>
        <row r="2530">
          <cell r="A2530">
            <v>2527</v>
          </cell>
          <cell r="B2530" t="str">
            <v>060.463.1820</v>
          </cell>
          <cell r="E2530" t="str">
            <v>Guías. Cable guía para vías biliares con recubrimiento de politetrafluoretileno diámetro 0.035 mm longitud 480 cm. Tipo: Soehendra. Pieza.</v>
          </cell>
          <cell r="U2530">
            <v>699</v>
          </cell>
          <cell r="V2530">
            <v>1746</v>
          </cell>
        </row>
        <row r="2531">
          <cell r="A2531">
            <v>2528</v>
          </cell>
          <cell r="B2531" t="str">
            <v>060.463.1838</v>
          </cell>
          <cell r="E2531" t="str">
            <v>Guías. Cable guía para vías biliares con recubrimiento de politetrafluoretileno diámetro 0.035 mm longitud 480 cm. Tipo: Tracer. Pieza.</v>
          </cell>
          <cell r="U2531">
            <v>732</v>
          </cell>
          <cell r="V2531">
            <v>1827</v>
          </cell>
        </row>
        <row r="2532">
          <cell r="A2532">
            <v>2529</v>
          </cell>
          <cell r="B2532" t="str">
            <v>060.463.1895</v>
          </cell>
          <cell r="E2532" t="str">
            <v>GUIAS METALICAS PARA PROCEDIMIENTOS BILIARES, CON RECUBRIMIENTO AISLANTE Y 480CM DE LONGITUD. CALIBRE. 0.021."</v>
          </cell>
          <cell r="U2532">
            <v>224</v>
          </cell>
          <cell r="V2532">
            <v>557</v>
          </cell>
        </row>
        <row r="2533">
          <cell r="A2533">
            <v>2530</v>
          </cell>
          <cell r="B2533" t="str">
            <v>060.463.1903</v>
          </cell>
          <cell r="E2533" t="str">
            <v>GUIAS. GUIAS METALICAS PARA PROCEDIMIENTOS BILIARES, CON RECUBRIMIENTO AISLANTEY 450 A 480 CM DE LONGITUD. CALIBRE. 0.025 PULGADAS. PIEZA.</v>
          </cell>
          <cell r="U2533">
            <v>200</v>
          </cell>
          <cell r="V2533">
            <v>499</v>
          </cell>
        </row>
        <row r="2534">
          <cell r="A2534">
            <v>2531</v>
          </cell>
          <cell r="B2534" t="str">
            <v>060.463.1911</v>
          </cell>
          <cell r="E2534" t="str">
            <v>GUÍAS METÁLICAS PARA PROCEDIMIENTOS BILIARES CON RECUBRIMIENTO AISLANTE Y 450 A 480 CM DE LONGITUD. CALIBRE: 0.035 ". PIEZA.</v>
          </cell>
          <cell r="U2534">
            <v>816</v>
          </cell>
          <cell r="V2534">
            <v>2038</v>
          </cell>
        </row>
        <row r="2535">
          <cell r="A2535">
            <v>2532</v>
          </cell>
          <cell r="B2535" t="str">
            <v>060.463.2083</v>
          </cell>
          <cell r="E2535" t="str">
            <v>CATÉTERES. PARA EMBOLIZACIÓN ENDOVASCULAR INTRACRANEAL. DE TRES CAPAS CON CUERPO ENMALLADO EN ACERO INOXIDABLE CON PUNTA RECTA. DIÁMETRO EXTERNO FR: 6 DIÁMETRO INTERNO MM: 0.064" (0.160) LONGITUD CM: 90. PIEZA</v>
          </cell>
          <cell r="U2535">
            <v>60</v>
          </cell>
          <cell r="V2535">
            <v>147</v>
          </cell>
        </row>
        <row r="2536">
          <cell r="A2536">
            <v>2533</v>
          </cell>
          <cell r="B2536" t="str">
            <v>060.463.2141</v>
          </cell>
          <cell r="E2536" t="str">
            <v>CATÉTERES. PARA EMBOLIZACIÓN ENDOVASCULAR INTRACRANEAL. DE TRES CAPAS CON CUERPO ENMALLADO EN ACERO INOXIDABLE CON PUNTA RECTA. DIÁMETRO EXTERNO FR: 8 DIÁMETRO INTERNO MM: 0.084 " (0.210) LONGITUD CM: 100. PIEZA.</v>
          </cell>
          <cell r="U2536">
            <v>59</v>
          </cell>
          <cell r="V2536">
            <v>147</v>
          </cell>
        </row>
        <row r="2537">
          <cell r="A2537">
            <v>2534</v>
          </cell>
          <cell r="B2537" t="str">
            <v>060.463.2166</v>
          </cell>
          <cell r="E2537" t="str">
            <v>GUÍAS MICROGUÍA. CUERDA GUÍA PARA EMBOLIZACIÓN ENDOVASCULAR INTRACRANEAL EN ALEACIÓN DE ACERO INOXIDABLE 304V O SCITANIUM. DE 0.010" (0.0254 MM) DE DIÁMETRO CON RECUBRIMIENTO HIDROFÍLICO RADIOPACA PUNTA PREFORMABLE Y LONGITUD TOTAL DE 200 A 205 CM COMPATIBLE O NO CON EL SISTEMA DE INTERCAMBIO DE CATÉTERES. PIEZA.</v>
          </cell>
          <cell r="U2537">
            <v>31</v>
          </cell>
          <cell r="V2537">
            <v>76</v>
          </cell>
        </row>
        <row r="2538">
          <cell r="A2538">
            <v>2535</v>
          </cell>
          <cell r="B2538" t="str">
            <v>060.463.2182</v>
          </cell>
          <cell r="E2538" t="str">
            <v>GUÍAS MICROGUÍA. CUERDA GUÍA PARA EMBOLIZACIÓN ENDOVASCULAR INTRACRANEAL EN ALEACIÓN DE ACERO INOXIDABLE 304V O SCITANIUM CON RECUBRIMIENTO HIDROFÍLICO RADIOPACA PUNTA PREFORMABLE Y DIÁMETRO DE 0.010 " (0.0254 MM) Y LONGITUD TOTAL DE 200 A 205 CM COMPATIBLE O NO CON EL SISTEMA DE INTERCAMBIO DE CATÉTERES. TIPO DE PUNTA: SUAVE. PIEZA.</v>
          </cell>
          <cell r="U2538">
            <v>34</v>
          </cell>
          <cell r="V2538">
            <v>84</v>
          </cell>
        </row>
        <row r="2539">
          <cell r="A2539">
            <v>2536</v>
          </cell>
          <cell r="B2539" t="str">
            <v>060.463.2232</v>
          </cell>
          <cell r="E2539" t="str">
            <v>Guías. Microguía. Cuerda guía para embolización endovascular intracraneal en aleación de Scitanium. De 0.014" (0.035 mm) de diámetro con recubrimiento hidrofílico radiopaca punta preformable y longitud total de 182 cm compatible con el sistema de intercambio de Catéteres. Tipo de punta: estándar. Pieza.</v>
          </cell>
          <cell r="U2539">
            <v>8</v>
          </cell>
          <cell r="V2539">
            <v>20</v>
          </cell>
        </row>
        <row r="2540">
          <cell r="A2540">
            <v>2537</v>
          </cell>
          <cell r="B2540" t="str">
            <v>060.463.2240</v>
          </cell>
          <cell r="E2540" t="str">
            <v>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BLANDA. PIEZA.</v>
          </cell>
          <cell r="U2540">
            <v>26</v>
          </cell>
          <cell r="V2540">
            <v>63</v>
          </cell>
        </row>
        <row r="2541">
          <cell r="A2541">
            <v>2538</v>
          </cell>
          <cell r="B2541" t="str">
            <v>060.470.0112</v>
          </cell>
          <cell r="E2541" t="str">
            <v>Hemostáticos. Esponja hemostática de gelatina o colágeno de: 50 a 100 x 70 a 125 mm. Envase con una pieza.</v>
          </cell>
          <cell r="U2541">
            <v>422290</v>
          </cell>
          <cell r="V2541">
            <v>1055723</v>
          </cell>
        </row>
        <row r="2542">
          <cell r="A2542">
            <v>2539</v>
          </cell>
          <cell r="B2542" t="str">
            <v>060.470.0120</v>
          </cell>
          <cell r="E2542" t="str">
            <v>Hemostáticos. Esponja hemostática de gelatina o colágeno de: 20 a 30 x 50 a 60 mm. Envase con una pieza.</v>
          </cell>
          <cell r="U2542">
            <v>133940</v>
          </cell>
          <cell r="V2542">
            <v>334847</v>
          </cell>
        </row>
        <row r="2543">
          <cell r="A2543">
            <v>2540</v>
          </cell>
          <cell r="B2543" t="str">
            <v>060.470.0138</v>
          </cell>
          <cell r="E2543" t="str">
            <v>Hemostáticos. Gasa hemostática absorbente soluble. Envase con 20 sobres.</v>
          </cell>
          <cell r="U2543">
            <v>21178</v>
          </cell>
          <cell r="V2543">
            <v>52943</v>
          </cell>
        </row>
        <row r="2544">
          <cell r="A2544">
            <v>2541</v>
          </cell>
          <cell r="B2544" t="str">
            <v>060.470.0146</v>
          </cell>
          <cell r="E2544" t="str">
            <v>Hemostáticos. Satín hemostático absorbible. Envase con 20 sobres.</v>
          </cell>
          <cell r="U2544">
            <v>31918</v>
          </cell>
          <cell r="V2544">
            <v>79793</v>
          </cell>
        </row>
        <row r="2545">
          <cell r="A2545">
            <v>2542</v>
          </cell>
          <cell r="B2545" t="str">
            <v>060.470.0153</v>
          </cell>
          <cell r="E2545" t="str">
            <v>HEMOSTÁTICOS. ABSORBIBLES DE COLÁGENO. 2.5 X 5 CM. ENVASE CON 12 PIEZAS.</v>
          </cell>
          <cell r="U2545">
            <v>61</v>
          </cell>
          <cell r="V2545">
            <v>151</v>
          </cell>
        </row>
        <row r="2546">
          <cell r="A2546">
            <v>2543</v>
          </cell>
          <cell r="B2546" t="str">
            <v>060.470.0161</v>
          </cell>
          <cell r="E2546" t="str">
            <v>Hemostáticos. Absorbibles de colágeno. 7.5 x 5 cm. Envase con 12 Piezas.</v>
          </cell>
          <cell r="U2546">
            <v>53</v>
          </cell>
          <cell r="V2546">
            <v>131</v>
          </cell>
        </row>
        <row r="2547">
          <cell r="A2547">
            <v>2544</v>
          </cell>
          <cell r="B2547" t="str">
            <v>060.470.0195</v>
          </cell>
          <cell r="E2547" t="str">
            <v>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MEDIDAS: 10.2 X 10.2 CM PIEZA</v>
          </cell>
          <cell r="U2547">
            <v>379</v>
          </cell>
          <cell r="V2547">
            <v>945</v>
          </cell>
        </row>
        <row r="2548">
          <cell r="A2548">
            <v>2545</v>
          </cell>
          <cell r="B2548" t="str">
            <v>060.470.0203</v>
          </cell>
          <cell r="E2548" t="str">
            <v>Hemostáticos. Sellante hemostático. Parche suave fino plegable y flexible de colágeno bovino recubierto de NHS-PEG (pentaeritritol polietilenglicol éter tetrasuccinimidil glutarato) y una cara no recubierta marcada con cuadros azules de un colorante biocompatible. Caja con 5 empaques cada uno con un parche de colágeno reabsorbible de 2.7cm x 2.7cm</v>
          </cell>
          <cell r="U2548">
            <v>80</v>
          </cell>
          <cell r="V2548">
            <v>200</v>
          </cell>
        </row>
        <row r="2549">
          <cell r="A2549">
            <v>2546</v>
          </cell>
          <cell r="B2549" t="str">
            <v>060.470.0211</v>
          </cell>
          <cell r="E2549" t="str">
            <v>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4.5 cm</v>
          </cell>
          <cell r="U2549">
            <v>80</v>
          </cell>
          <cell r="V2549">
            <v>200</v>
          </cell>
        </row>
        <row r="2550">
          <cell r="A2550">
            <v>2547</v>
          </cell>
          <cell r="B2550" t="str">
            <v>060.470.0229</v>
          </cell>
          <cell r="E2550" t="str">
            <v>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v>
          </cell>
          <cell r="U2550">
            <v>16</v>
          </cell>
          <cell r="V2550">
            <v>39</v>
          </cell>
        </row>
        <row r="2551">
          <cell r="A2551">
            <v>2548</v>
          </cell>
          <cell r="B2551" t="str">
            <v>060.483.0091</v>
          </cell>
          <cell r="E2551" t="str">
            <v>Hoja Para Bisturí. De acero inoxidable. Empaque individual. Estériles y desechables. Pieza. 10 Envase con 100 piezas.</v>
          </cell>
          <cell r="U2551">
            <v>40244</v>
          </cell>
          <cell r="V2551">
            <v>100607</v>
          </cell>
        </row>
        <row r="2552">
          <cell r="A2552">
            <v>2549</v>
          </cell>
          <cell r="B2552" t="str">
            <v>060.483.0117</v>
          </cell>
          <cell r="E2552" t="str">
            <v>Hoja Para Bisturí. De acero inoxidable. Empaque individual. Estériles y desechables. Pieza. 12 Envase con 100 piezas.</v>
          </cell>
          <cell r="U2552">
            <v>18809</v>
          </cell>
          <cell r="V2552">
            <v>47021</v>
          </cell>
        </row>
        <row r="2553">
          <cell r="A2553">
            <v>2550</v>
          </cell>
          <cell r="B2553" t="str">
            <v>060.483.0125</v>
          </cell>
          <cell r="E2553" t="str">
            <v>Hoja Para Bisturí. De acero inoxidable. Empaque individual. Estériles y desechables. Pieza. 11 Envase con 100 piezas.</v>
          </cell>
          <cell r="U2553">
            <v>26873</v>
          </cell>
          <cell r="V2553">
            <v>67179</v>
          </cell>
        </row>
        <row r="2554">
          <cell r="A2554">
            <v>2551</v>
          </cell>
          <cell r="B2554" t="str">
            <v>060.483.0133</v>
          </cell>
          <cell r="E2554" t="str">
            <v>Hoja Para Bisturí. De acero inoxidable. Empaque individual. Estériles y desechables. Pieza. 20 Envase con 100 piezas.</v>
          </cell>
          <cell r="U2554">
            <v>53520</v>
          </cell>
          <cell r="V2554">
            <v>133798</v>
          </cell>
        </row>
        <row r="2555">
          <cell r="A2555">
            <v>2552</v>
          </cell>
          <cell r="B2555" t="str">
            <v>060.483.0141</v>
          </cell>
          <cell r="E2555" t="str">
            <v>Hoja Para Bisturí. De acero inoxidable. Empaque individual. Estériles y desechables. Pieza. 15 Envase con 100 piezas.</v>
          </cell>
          <cell r="U2555">
            <v>53796</v>
          </cell>
          <cell r="V2555">
            <v>134487</v>
          </cell>
        </row>
        <row r="2556">
          <cell r="A2556">
            <v>2553</v>
          </cell>
          <cell r="B2556" t="str">
            <v>060.483.0158</v>
          </cell>
          <cell r="E2556" t="str">
            <v>Hoja Para Bisturí. De acero inoxidable. Empaque individual. Estériles y desechables. Pieza. 21 Envase con 100 piezas.</v>
          </cell>
          <cell r="U2556">
            <v>35555</v>
          </cell>
          <cell r="V2556">
            <v>88885</v>
          </cell>
        </row>
        <row r="2557">
          <cell r="A2557">
            <v>2554</v>
          </cell>
          <cell r="B2557" t="str">
            <v>060.483.0166</v>
          </cell>
          <cell r="E2557" t="str">
            <v>HOJA P/BISTURI ESTERIL N 22, 100 PZ</v>
          </cell>
          <cell r="U2557">
            <v>242</v>
          </cell>
          <cell r="V2557">
            <v>602</v>
          </cell>
        </row>
        <row r="2558">
          <cell r="A2558">
            <v>2555</v>
          </cell>
          <cell r="B2558" t="str">
            <v>060.483.0174</v>
          </cell>
          <cell r="E2558" t="str">
            <v>Hoja Para Bisturí. De acero inoxidable. Empaque individual. Estériles y desechables. Pieza. 23 Envase con 100 piezas.</v>
          </cell>
          <cell r="U2558">
            <v>33753</v>
          </cell>
          <cell r="V2558">
            <v>84381</v>
          </cell>
        </row>
        <row r="2559">
          <cell r="A2559">
            <v>2556</v>
          </cell>
          <cell r="B2559" t="str">
            <v>060.483.0182</v>
          </cell>
          <cell r="E2559" t="str">
            <v>HOJA P/BISTURI ESTERIL N 24, 100 PZ</v>
          </cell>
          <cell r="U2559">
            <v>168</v>
          </cell>
          <cell r="V2559">
            <v>418</v>
          </cell>
        </row>
        <row r="2560">
          <cell r="A2560">
            <v>2557</v>
          </cell>
          <cell r="B2560" t="str">
            <v>060.483.0778</v>
          </cell>
          <cell r="E2560" t="str">
            <v>SIERRA MANUAL GIGLI.</v>
          </cell>
          <cell r="U2560">
            <v>1594</v>
          </cell>
          <cell r="V2560">
            <v>3983</v>
          </cell>
        </row>
        <row r="2561">
          <cell r="A2561">
            <v>2558</v>
          </cell>
          <cell r="B2561" t="str">
            <v>060.483.0786</v>
          </cell>
          <cell r="E2561" t="str">
            <v>Hojas para sierra Hoja para sierra oscilatoria para cirugía ósea. De acuerdo a marca y modelo del equipo. Pieza.</v>
          </cell>
          <cell r="U2561">
            <v>222</v>
          </cell>
          <cell r="V2561">
            <v>551</v>
          </cell>
        </row>
        <row r="2562">
          <cell r="A2562">
            <v>2559</v>
          </cell>
          <cell r="B2562" t="str">
            <v>060.491.0018</v>
          </cell>
          <cell r="E2562" t="str">
            <v>Papeles. Indicador de contacto oclusal. En tiras con pegamento en ambas caras. Block con 15 hojas.</v>
          </cell>
          <cell r="U2562">
            <v>19068</v>
          </cell>
          <cell r="V2562">
            <v>47669</v>
          </cell>
        </row>
        <row r="2563">
          <cell r="A2563">
            <v>2560</v>
          </cell>
          <cell r="B2563" t="str">
            <v>060.506.0060</v>
          </cell>
          <cell r="E2563" t="str">
            <v>IMPLANTES. BANDA PARA LA CONSTRICCION CIRCULAR, DE  MATERIAL SINTETICO NOABSORBIBLE. MEDIDAS: 2.0 X 0.75 X 125 MM.</v>
          </cell>
          <cell r="U2563">
            <v>600</v>
          </cell>
          <cell r="V2563">
            <v>1500</v>
          </cell>
        </row>
        <row r="2564">
          <cell r="A2564">
            <v>2561</v>
          </cell>
          <cell r="B2564" t="str">
            <v>060.506.0078</v>
          </cell>
          <cell r="E2564" t="str">
            <v>IMPLANTABLES. BANDA PARA LA CONSTRICCION CIRCULAR, DE MATERIAL SINTETICO NOABSORBIBLE. MEDIDAS: 2.5 X 0.60 X 110 MM. PIEZA.</v>
          </cell>
          <cell r="U2564">
            <v>227</v>
          </cell>
          <cell r="V2564">
            <v>565</v>
          </cell>
        </row>
        <row r="2565">
          <cell r="A2565">
            <v>2562</v>
          </cell>
          <cell r="B2565" t="str">
            <v>060.506.0086</v>
          </cell>
          <cell r="E2565" t="str">
            <v>IMPLANTABLES. PARA IDENTACION CIRCULAR O LOCALIZADA. DE MATERIAL SINTETICO NOABSORBIBLE. BANDA CON CANALADURA DE: 2.0 X 5.7 X 125 MM. PIEZA.</v>
          </cell>
          <cell r="U2565">
            <v>68</v>
          </cell>
          <cell r="V2565">
            <v>166</v>
          </cell>
        </row>
        <row r="2566">
          <cell r="A2566">
            <v>2563</v>
          </cell>
          <cell r="B2566" t="str">
            <v>060.506.0094</v>
          </cell>
          <cell r="E2566" t="str">
            <v>IMPLANTES. PARA IDENTACION CIRCULAR O LOCALIZADA. DE MATERIAL SINTETICO NOABSORBIBLE. BANDA CON CANALADURA DE: 2.5 X 6.0 X 125 MM.</v>
          </cell>
          <cell r="U2566">
            <v>68</v>
          </cell>
          <cell r="V2566">
            <v>168</v>
          </cell>
        </row>
        <row r="2567">
          <cell r="A2567">
            <v>2564</v>
          </cell>
          <cell r="B2567" t="str">
            <v>060.506.1431</v>
          </cell>
          <cell r="E2567" t="str">
            <v>INJERTOS. BIFURCADOS MICROVEL. DOBLE VELOUR. POROSIDAD CERO. 19 X 8 MM. PIEZA.</v>
          </cell>
          <cell r="U2567">
            <v>4</v>
          </cell>
          <cell r="V2567">
            <v>6</v>
          </cell>
        </row>
        <row r="2568">
          <cell r="A2568">
            <v>2565</v>
          </cell>
          <cell r="B2568" t="str">
            <v>060.506.1449</v>
          </cell>
          <cell r="E2568" t="str">
            <v>INJERTOS. BIFURCADOS MICROVEL. DOBLE VELOUR. POROSIDAD CERO. 20 X 10 MM. PIEZA.</v>
          </cell>
          <cell r="U2568">
            <v>4</v>
          </cell>
          <cell r="V2568">
            <v>6</v>
          </cell>
        </row>
        <row r="2569">
          <cell r="A2569">
            <v>2566</v>
          </cell>
          <cell r="B2569" t="str">
            <v>060.506.1456</v>
          </cell>
          <cell r="E2569" t="str">
            <v>INJERTOS. BIFURCADOS MICROVEL. DOBLE VELOUR. POROSIDAD CERO. 22 X 10 MM. PIEZA.</v>
          </cell>
          <cell r="U2569">
            <v>4</v>
          </cell>
          <cell r="V2569">
            <v>6</v>
          </cell>
        </row>
        <row r="2570">
          <cell r="A2570">
            <v>2567</v>
          </cell>
          <cell r="B2570" t="str">
            <v>060.506.1464</v>
          </cell>
          <cell r="E2570" t="str">
            <v>INJERTOS. BIFURCADOS PRECOAGULADOS.12 X 6 MM. PIEZA.</v>
          </cell>
          <cell r="U2570">
            <v>95</v>
          </cell>
          <cell r="V2570">
            <v>236</v>
          </cell>
        </row>
        <row r="2571">
          <cell r="A2571">
            <v>2568</v>
          </cell>
          <cell r="B2571" t="str">
            <v>060.506.1514</v>
          </cell>
          <cell r="E2571" t="str">
            <v>INJERTOS. TUBULARES PRECOAGULADOS DE 8 MM X 60 CM. PIEZA.</v>
          </cell>
          <cell r="U2571">
            <v>94</v>
          </cell>
          <cell r="V2571">
            <v>233</v>
          </cell>
        </row>
        <row r="2572">
          <cell r="A2572">
            <v>2569</v>
          </cell>
          <cell r="B2572" t="str">
            <v>060.506.1522</v>
          </cell>
          <cell r="E2572" t="str">
            <v>INJERTOS. BIFURCADOS PRECOAGULADOS. 16 X 6 MM O 16 X 8 MM. PIEZA.</v>
          </cell>
          <cell r="U2572">
            <v>292</v>
          </cell>
          <cell r="V2572">
            <v>727</v>
          </cell>
        </row>
        <row r="2573">
          <cell r="A2573">
            <v>2570</v>
          </cell>
          <cell r="B2573" t="str">
            <v>060.506.1530</v>
          </cell>
          <cell r="E2573" t="str">
            <v>INJERTOS. BIFURCADOS PRECOAGULADOS. 19 X 8 MM O 18 X 9 MM. PIEZA.</v>
          </cell>
          <cell r="U2573">
            <v>382</v>
          </cell>
          <cell r="V2573">
            <v>954</v>
          </cell>
        </row>
        <row r="2574">
          <cell r="A2574">
            <v>2571</v>
          </cell>
          <cell r="B2574" t="str">
            <v>060.506.1548</v>
          </cell>
          <cell r="E2574" t="str">
            <v>INJERTOS. BIFURCADOS PRECOAGULADOS. 20 X 10 MM O 18 X10 MM. PIEZA.</v>
          </cell>
          <cell r="U2574">
            <v>147</v>
          </cell>
          <cell r="V2574">
            <v>364</v>
          </cell>
        </row>
        <row r="2575">
          <cell r="A2575">
            <v>2572</v>
          </cell>
          <cell r="B2575" t="str">
            <v>060.506.1555</v>
          </cell>
          <cell r="E2575" t="str">
            <v>INJERTOS. BIFURCADOS PRECOAGULADOS DE 22 X 10 MM O 22 X 11 MM. PIEZA.</v>
          </cell>
          <cell r="U2575">
            <v>42</v>
          </cell>
          <cell r="V2575">
            <v>104</v>
          </cell>
        </row>
        <row r="2576">
          <cell r="A2576">
            <v>2573</v>
          </cell>
          <cell r="B2576" t="str">
            <v>060.506.1779</v>
          </cell>
          <cell r="E2576" t="str">
            <v>INJERTO. DE POLIESTER ESPECIAL. PARA USO ESPECIFICO, AXILO BIFEMORAL, RECTOCONRAMA. TIPO: OSCHSNER. 8 MM X 100 CM X 50 CM. PIEZA.</v>
          </cell>
          <cell r="U2576">
            <v>56</v>
          </cell>
          <cell r="V2576">
            <v>137</v>
          </cell>
        </row>
        <row r="2577">
          <cell r="A2577">
            <v>2574</v>
          </cell>
          <cell r="B2577" t="str">
            <v>060.506.1787</v>
          </cell>
          <cell r="E2577" t="str">
            <v>INJERTOS DE POLIESTER ESPECIAL. PARA USO ESPECIFICO, AXILO BIFEMORAL RECTO CONRAMA TIPO: OSCHSNER 10 MM X 100 CM X 50 CM.</v>
          </cell>
          <cell r="U2577">
            <v>52</v>
          </cell>
          <cell r="V2577">
            <v>129</v>
          </cell>
        </row>
        <row r="2578">
          <cell r="A2578">
            <v>2575</v>
          </cell>
          <cell r="B2578" t="str">
            <v>060.506.1795</v>
          </cell>
          <cell r="E2578" t="str">
            <v>INJERTOS DE POLITETRAFLUORETILENO. TUBULARES, RECTOS, DE PARED DELGADA. 5 MM X70 CM.</v>
          </cell>
          <cell r="U2578">
            <v>49</v>
          </cell>
          <cell r="V2578">
            <v>122</v>
          </cell>
        </row>
        <row r="2579">
          <cell r="A2579">
            <v>2576</v>
          </cell>
          <cell r="B2579" t="str">
            <v>060.506.1803</v>
          </cell>
          <cell r="E2579" t="str">
            <v>INJERTOS DE POLITETRAFLUORETILENO. TUBULARES,  RECTOS, DE PARED DELGADA. 6 MM X70 CM.</v>
          </cell>
          <cell r="U2579">
            <v>140</v>
          </cell>
          <cell r="V2579">
            <v>349</v>
          </cell>
        </row>
        <row r="2580">
          <cell r="A2580">
            <v>2577</v>
          </cell>
          <cell r="B2580" t="str">
            <v>060.506.1829</v>
          </cell>
          <cell r="E2580" t="str">
            <v>INJERTOS. DE POLITETRAFLUORETILENO. TUBULARES, RECTOS, DE PARED DELGADA. 8 MMX80 CM. PIEZA.</v>
          </cell>
          <cell r="U2580">
            <v>32</v>
          </cell>
          <cell r="V2580">
            <v>77</v>
          </cell>
        </row>
        <row r="2581">
          <cell r="A2581">
            <v>2578</v>
          </cell>
          <cell r="B2581" t="str">
            <v>060.506.1837</v>
          </cell>
          <cell r="E2581" t="str">
            <v>INJERTOS DE POLITETRAFLUORETILENO. TUBULARES, RECTOS, DE PARED DELGADA. 10 MM X80 CM.</v>
          </cell>
          <cell r="U2581">
            <v>43</v>
          </cell>
          <cell r="V2581">
            <v>106</v>
          </cell>
        </row>
        <row r="2582">
          <cell r="A2582">
            <v>2579</v>
          </cell>
          <cell r="B2582" t="str">
            <v>060.506.1845</v>
          </cell>
          <cell r="E2582" t="str">
            <v>INJERTOS TUBULARES, RECTOS, DE PARED REGULAR. 6 MM X 70 CM.</v>
          </cell>
          <cell r="U2582">
            <v>112</v>
          </cell>
          <cell r="V2582">
            <v>277</v>
          </cell>
        </row>
        <row r="2583">
          <cell r="A2583">
            <v>2580</v>
          </cell>
          <cell r="B2583" t="str">
            <v>060.506.1852</v>
          </cell>
          <cell r="E2583" t="str">
            <v>INJERTOS. TUBULARES, RECTOS, DE PARED REGULAR. 7 MM X 70 CM. PIEZA.</v>
          </cell>
          <cell r="U2583">
            <v>92</v>
          </cell>
          <cell r="V2583">
            <v>228</v>
          </cell>
        </row>
        <row r="2584">
          <cell r="A2584">
            <v>2581</v>
          </cell>
          <cell r="B2584" t="str">
            <v>060.506.1886</v>
          </cell>
          <cell r="E2584" t="str">
            <v>INJERTOS. CONICOS DE PARED DELGADA. 7 A 4 MM X 70 CM. PIEZA.</v>
          </cell>
          <cell r="U2584">
            <v>144</v>
          </cell>
          <cell r="V2584">
            <v>358</v>
          </cell>
        </row>
        <row r="2585">
          <cell r="A2585">
            <v>2582</v>
          </cell>
          <cell r="B2585" t="str">
            <v>060.506.1910</v>
          </cell>
          <cell r="E2585" t="str">
            <v>INJERTOS. CONICOS REGULARES. 7 A 4 MM X 70 CM. PIEZA.</v>
          </cell>
          <cell r="U2585">
            <v>291</v>
          </cell>
          <cell r="V2585">
            <v>725</v>
          </cell>
        </row>
        <row r="2586">
          <cell r="A2586">
            <v>2583</v>
          </cell>
          <cell r="B2586" t="str">
            <v>060.506.1936</v>
          </cell>
          <cell r="E2586" t="str">
            <v>INJERTOS PARA PROTESIS VASCULAR. RECTOS DE PARED DELGADA, ANILLADOS AL CENTRO. 6MM X 40 CM.</v>
          </cell>
          <cell r="U2586">
            <v>560</v>
          </cell>
          <cell r="V2586">
            <v>1400</v>
          </cell>
        </row>
        <row r="2587">
          <cell r="A2587">
            <v>2584</v>
          </cell>
          <cell r="B2587" t="str">
            <v>060.506.1944</v>
          </cell>
          <cell r="E2587" t="str">
            <v>INJERTOS. PARA PROTESIS VASCULAR. RECTOS DE PARED DELGADA, ANILLADOS AL CENTRO.6MM X 50 CM. PIEZA.</v>
          </cell>
          <cell r="U2587">
            <v>120</v>
          </cell>
          <cell r="V2587">
            <v>297</v>
          </cell>
        </row>
        <row r="2588">
          <cell r="A2588">
            <v>2585</v>
          </cell>
          <cell r="B2588" t="str">
            <v>060.506.1951</v>
          </cell>
          <cell r="E2588" t="str">
            <v>INJERTOS. PARA PROTESIS VASCULAR. RECTOS DE PARED DELGADA, ANILLADOS AL CENTRO.8MM X 40 CM. PIEZA.</v>
          </cell>
          <cell r="U2588">
            <v>36</v>
          </cell>
          <cell r="V2588">
            <v>86</v>
          </cell>
        </row>
        <row r="2589">
          <cell r="A2589">
            <v>2586</v>
          </cell>
          <cell r="B2589" t="str">
            <v>060.506.1969</v>
          </cell>
          <cell r="E2589" t="str">
            <v>INJERTOS. PARA PROTESIS VASCULAR. RECTOS DE PARED DELGADA, ANILLADOS AL CENTRO.8MM X 60 CM. PIEZA.</v>
          </cell>
          <cell r="U2589">
            <v>142</v>
          </cell>
          <cell r="V2589">
            <v>354</v>
          </cell>
        </row>
        <row r="2590">
          <cell r="A2590">
            <v>2587</v>
          </cell>
          <cell r="B2590" t="str">
            <v>060.506.1977</v>
          </cell>
          <cell r="E2590" t="str">
            <v>INJERTOS. DE POLITETRAFLUORETILENO. RECTOS, TODOS ANILLADOS. 6 MM X 70 CM.PIEZA.</v>
          </cell>
          <cell r="U2590">
            <v>400</v>
          </cell>
          <cell r="V2590">
            <v>1000</v>
          </cell>
        </row>
        <row r="2591">
          <cell r="A2591">
            <v>2588</v>
          </cell>
          <cell r="B2591" t="str">
            <v>060.506.1985</v>
          </cell>
          <cell r="E2591" t="str">
            <v>INJERTOS DE POLITETRAFLUORETILENOS RECTOS, TODOS ANILLADOS. 8 MM X 70 CM.</v>
          </cell>
          <cell r="U2591">
            <v>334</v>
          </cell>
          <cell r="V2591">
            <v>834</v>
          </cell>
        </row>
        <row r="2592">
          <cell r="A2592">
            <v>2589</v>
          </cell>
          <cell r="B2592" t="str">
            <v>060.506.1993</v>
          </cell>
          <cell r="E2592" t="str">
            <v>INJERTOS. RECTOS, TODOS ANILLADOS, DE PARED DELGADA. 6 MM X 70 CM. PIEZA.</v>
          </cell>
          <cell r="U2592">
            <v>190</v>
          </cell>
          <cell r="V2592">
            <v>472</v>
          </cell>
        </row>
        <row r="2593">
          <cell r="A2593">
            <v>2590</v>
          </cell>
          <cell r="B2593" t="str">
            <v>060.506.2009</v>
          </cell>
          <cell r="E2593" t="str">
            <v>INJERTOS. RECTOS, TODOS ANILLADOS, DE PARED DELGAD. 6 MM X 80 CM. PIEZA.</v>
          </cell>
          <cell r="U2593">
            <v>271</v>
          </cell>
          <cell r="V2593">
            <v>675</v>
          </cell>
        </row>
        <row r="2594">
          <cell r="A2594">
            <v>2591</v>
          </cell>
          <cell r="B2594" t="str">
            <v>060.506.2017</v>
          </cell>
          <cell r="E2594" t="str">
            <v>INJERTOS CONICOS TODOS ANILLADOS. 7 A 4 MM X 70 CM.</v>
          </cell>
          <cell r="U2594">
            <v>526</v>
          </cell>
          <cell r="V2594">
            <v>1313</v>
          </cell>
        </row>
        <row r="2595">
          <cell r="A2595">
            <v>2592</v>
          </cell>
          <cell r="B2595" t="str">
            <v>060.506.2025</v>
          </cell>
          <cell r="E2595" t="str">
            <v>INJERTOS. CONICOS TODOS ANILLADOS. 8 A 5 MM X 70 CM. PIEZA.</v>
          </cell>
          <cell r="U2595">
            <v>245</v>
          </cell>
          <cell r="V2595">
            <v>609</v>
          </cell>
        </row>
        <row r="2596">
          <cell r="A2596">
            <v>2593</v>
          </cell>
          <cell r="B2596" t="str">
            <v>060.506.2298</v>
          </cell>
          <cell r="E2596" t="str">
            <v>INJERTOS DE POLITETRAFLUORETILENO. BIFURCADOS DE PARED REGULA., 8 MM X 19 CM.</v>
          </cell>
          <cell r="U2596">
            <v>74</v>
          </cell>
          <cell r="V2596">
            <v>185</v>
          </cell>
        </row>
        <row r="2597">
          <cell r="A2597">
            <v>2594</v>
          </cell>
          <cell r="B2597" t="str">
            <v>060.506.2306</v>
          </cell>
          <cell r="E2597" t="str">
            <v>INJERTOS DE POLITETRAFLUORETILENO. BIFURCADOS DE PARED REGULAR. 10 MM X 20 CM.</v>
          </cell>
          <cell r="U2597">
            <v>72</v>
          </cell>
          <cell r="V2597">
            <v>180</v>
          </cell>
        </row>
        <row r="2598">
          <cell r="A2598">
            <v>2595</v>
          </cell>
          <cell r="B2598" t="str">
            <v>060.506.2413</v>
          </cell>
          <cell r="E2598" t="str">
            <v>INJERTOS AORTICO VALVULADO BIVALVO, TUBULAR, POROSIDAD CERO. CALIBRE. 23.</v>
          </cell>
          <cell r="U2598">
            <v>304</v>
          </cell>
          <cell r="V2598">
            <v>756</v>
          </cell>
        </row>
        <row r="2599">
          <cell r="A2599">
            <v>2596</v>
          </cell>
          <cell r="B2599" t="str">
            <v>060.506.2439</v>
          </cell>
          <cell r="E2599" t="str">
            <v>INJERTOS AORTICO VALVULADO BIVALVO, TUBULAR, POROSIDAD CERO. CALIBRE. 27.</v>
          </cell>
          <cell r="U2599">
            <v>563</v>
          </cell>
          <cell r="V2599">
            <v>1405</v>
          </cell>
        </row>
        <row r="2600">
          <cell r="A2600">
            <v>2597</v>
          </cell>
          <cell r="B2600" t="str">
            <v>060.506.2447</v>
          </cell>
          <cell r="E2600" t="str">
            <v>INJERTOS AORTICO VALVULADO BIVALVO, TUBULAR, POROSIDAD CERO. CALIBRE. 29.</v>
          </cell>
          <cell r="U2600">
            <v>388</v>
          </cell>
          <cell r="V2600">
            <v>969</v>
          </cell>
        </row>
        <row r="2601">
          <cell r="A2601">
            <v>2598</v>
          </cell>
          <cell r="B2601" t="str">
            <v>060.506.2454</v>
          </cell>
          <cell r="E2601" t="str">
            <v>INJERTOS AORTICO VALVULADO BIVALVO, TUBULAR, POROSIDAD CERO CALIBRE 31.</v>
          </cell>
          <cell r="U2601">
            <v>148</v>
          </cell>
          <cell r="V2601">
            <v>369</v>
          </cell>
        </row>
        <row r="2602">
          <cell r="A2602">
            <v>2599</v>
          </cell>
          <cell r="B2602" t="str">
            <v>060.506.2710</v>
          </cell>
          <cell r="E2602" t="str">
            <v>INJERTOS. TUBULAR PARA HEMODIALISIS, DE POLIURETANO, CON O SIN ADITIVO, ESTERILY DESECHABLE. LONGITUD 40 CM X 6 MM DE DIAMETRO.</v>
          </cell>
          <cell r="U2602">
            <v>52</v>
          </cell>
          <cell r="V2602">
            <v>127</v>
          </cell>
        </row>
        <row r="2603">
          <cell r="A2603">
            <v>2600</v>
          </cell>
          <cell r="B2603" t="str">
            <v>060.506.2736</v>
          </cell>
          <cell r="E2603" t="str">
            <v>Injertos. Injerto de epidermis humana cultivado in vitro congelado. Estéril. Tamaño: 56 cm2. Pieza.</v>
          </cell>
          <cell r="U2603">
            <v>61006</v>
          </cell>
          <cell r="V2603">
            <v>152512</v>
          </cell>
        </row>
        <row r="2604">
          <cell r="A2604">
            <v>2601</v>
          </cell>
          <cell r="B2604" t="str">
            <v>060.506.2744</v>
          </cell>
          <cell r="E2604" t="str">
            <v>INJERTOS. TUBULARES, RECTOS DE PARED DELGADA, DE 4 MM X 70 CM. DEPOLITETRAFLUORETILENO. PIEZA.</v>
          </cell>
          <cell r="U2604">
            <v>4971</v>
          </cell>
          <cell r="V2604">
            <v>12427</v>
          </cell>
        </row>
        <row r="2605">
          <cell r="A2605">
            <v>2602</v>
          </cell>
          <cell r="B2605" t="str">
            <v>060.506.2751</v>
          </cell>
          <cell r="E2605" t="str">
            <v>IMPLANTES. MATRIZ O ESPONJA DE COLAGENO: 2.5 CM X 2.5 CM. ESTERIL. PIEZA.</v>
          </cell>
          <cell r="U2605">
            <v>583</v>
          </cell>
          <cell r="V2605">
            <v>1457</v>
          </cell>
        </row>
        <row r="2606">
          <cell r="A2606">
            <v>2603</v>
          </cell>
          <cell r="B2606" t="str">
            <v>060.506.2769</v>
          </cell>
          <cell r="E2606" t="str">
            <v>Implantes. Matriz o esponja de colágeno: 2.5 cm x 7.5 cm. Pieza.</v>
          </cell>
          <cell r="U2606">
            <v>5308</v>
          </cell>
          <cell r="V2606">
            <v>13269</v>
          </cell>
        </row>
        <row r="2607">
          <cell r="A2607">
            <v>2604</v>
          </cell>
          <cell r="B2607" t="str">
            <v>060.506.2777</v>
          </cell>
          <cell r="E2607" t="str">
            <v>Implantes. Matriz o esponja de colágeno: 5 cm x 5 cm. Pieza.</v>
          </cell>
          <cell r="U2607">
            <v>2369</v>
          </cell>
          <cell r="V2607">
            <v>5921</v>
          </cell>
        </row>
        <row r="2608">
          <cell r="A2608">
            <v>2605</v>
          </cell>
          <cell r="B2608" t="str">
            <v>060.506.2785</v>
          </cell>
          <cell r="E2608" t="str">
            <v>Implantes. Matriz o esponja de colágeno: 7.5 cm x 7.5 cm. Pieza.</v>
          </cell>
          <cell r="U2608">
            <v>4647</v>
          </cell>
          <cell r="V2608">
            <v>11615</v>
          </cell>
        </row>
        <row r="2609">
          <cell r="A2609">
            <v>2606</v>
          </cell>
          <cell r="B2609" t="str">
            <v>060.506.2793</v>
          </cell>
          <cell r="E2609" t="str">
            <v>Implantes. Matriz o esponja de colágeno: 10 cm x 12.5 cm. Estéril. Pieza.</v>
          </cell>
          <cell r="U2609">
            <v>7223</v>
          </cell>
          <cell r="V2609">
            <v>18055</v>
          </cell>
        </row>
        <row r="2610">
          <cell r="A2610">
            <v>2607</v>
          </cell>
          <cell r="B2610" t="str">
            <v>060.506.3551</v>
          </cell>
          <cell r="E2610" t="str">
            <v>INJERTOS. INJERTOS BIFURCADOS. DE POLIESTER O DACRON RECUBIERTO DE COLAGENO,ALBUMINA O GELATINA CON ANTIBACTERIANO. LONGITUD TOTAL 50 CM. DIAMETRO AORTICO14.0 MM. DIAMETRO FEMORAL O ILIACO 7.0 MM. PIEZA.</v>
          </cell>
          <cell r="U2610">
            <v>110</v>
          </cell>
          <cell r="V2610">
            <v>274</v>
          </cell>
        </row>
        <row r="2611">
          <cell r="A2611">
            <v>2608</v>
          </cell>
          <cell r="B2611" t="str">
            <v>060.506.3577</v>
          </cell>
          <cell r="E2611" t="str">
            <v>INJERTOS. INJERTOS BIFURCADOS. DE POLIESTER O DACRON RECUBIERTO DE COLAGENO,ALBUMINA O GELATINA CON ANTIBACTERIANO. LONGITUD TOTAL 50 CM. DIAMETRO AORTICO16.0 MM. DIAMETRO FEMORAL O ILIACO 8.0 MM.</v>
          </cell>
          <cell r="U2611">
            <v>88</v>
          </cell>
          <cell r="V2611">
            <v>219</v>
          </cell>
        </row>
        <row r="2612">
          <cell r="A2612">
            <v>2609</v>
          </cell>
          <cell r="B2612" t="str">
            <v>060.506.3585</v>
          </cell>
          <cell r="E2612" t="str">
            <v>INJERTOS. INJERTOS BIFURCADOS. DE POLIESTER O DACRON RECUBIERTO DE COLAGENO,ALBUMINA O GELATINA CON ANTIBACTERIANO. LONGITUD TOTAL 50 CM. DIAMETROAORTICO18.0 MM. DIAMETRO FEMORAL O ILIACO 9.0 MM. PIEZA.</v>
          </cell>
          <cell r="U2612">
            <v>73</v>
          </cell>
          <cell r="V2612">
            <v>181</v>
          </cell>
        </row>
        <row r="2613">
          <cell r="A2613">
            <v>2610</v>
          </cell>
          <cell r="B2613" t="str">
            <v>060.506.3593</v>
          </cell>
          <cell r="E2613" t="str">
            <v>INJERTOS. INJERTOS BIFURCADOS. DE POLIESTER O DACRON RECUBIERTO DE COLAGENO,ALBUMINA O GELATINA CON ANTIBACTERIANO. LONGITUD TOTAL 50 CM. DIAMETRO AORTICO20.0 MM. DIAMETRO FEMORAL O ILIACO 10.0 MM.</v>
          </cell>
          <cell r="U2613">
            <v>48</v>
          </cell>
          <cell r="V2613">
            <v>119</v>
          </cell>
        </row>
        <row r="2614">
          <cell r="A2614">
            <v>2611</v>
          </cell>
          <cell r="B2614" t="str">
            <v>060.506.3759</v>
          </cell>
          <cell r="E2614" t="str">
            <v>INJERTOS. INJERTO DE EPIDERMIS HUMANA CULTIVADO IN VITRO CONGELADO. ESTERIL.TAMAÑO: 27 CM2. PIEZA.</v>
          </cell>
          <cell r="U2614">
            <v>2792</v>
          </cell>
          <cell r="V2614">
            <v>6976</v>
          </cell>
        </row>
        <row r="2615">
          <cell r="A2615">
            <v>2612</v>
          </cell>
          <cell r="B2615" t="str">
            <v>060.506.3809</v>
          </cell>
          <cell r="E2615" t="str">
            <v>Hemostático absorbible. Matriz de gelatina de colágeno (derivado bovino) un componente de trombina humana 500 UI/ml un diluyente y accesorios para su reconstitución. Presentación de 5 ml.</v>
          </cell>
          <cell r="U2615">
            <v>88</v>
          </cell>
          <cell r="V2615">
            <v>218</v>
          </cell>
        </row>
        <row r="2616">
          <cell r="A2616">
            <v>2613</v>
          </cell>
          <cell r="B2616" t="str">
            <v>060.506.3817</v>
          </cell>
          <cell r="E2616" t="str">
            <v>Hemostático absorbible. Matriz de gelatina de colágeno (derivado bovino) un componente de trombina humana 500 UI/ml un diluyente y accesorios para su reconstitución. Presentación de 10 ml.</v>
          </cell>
          <cell r="U2616">
            <v>34</v>
          </cell>
          <cell r="V2616">
            <v>82</v>
          </cell>
        </row>
        <row r="2617">
          <cell r="A2617">
            <v>2614</v>
          </cell>
          <cell r="B2617" t="str">
            <v>060.506.3825</v>
          </cell>
          <cell r="E2617" t="str">
            <v>Matriz hemostática. Kit de matriz hemostática de gelatina porcina y trombina humana derivada de plasma (polvo liofilizado) combinado en el punto de uso clínico. Consta de un sistema contenedor primario y dos ayudas para administración. Producto estéril de uso único. Presentación: 1 Kit que incluye: 1. Matriz de gelatina fluida viene en una bandeja con componentes totalmente estériles: . Una jeringa precargada estéril con émbolo azul que contiene la matriz de gelatina porcina de aspecto blanquecino. *Una jeringa estéril vacía. * Una copa de transferencia de líquido estéril. * Una punta flexible estéril flexible azul que se uede doblar en todas las direcciones. * Una punta aplicadora estéril blanca que se puede recortar a la longitud deseada. 2. Componentes para preparar la solución de la trombina * Un vial de trombina contiene 2000 unidades internacionales (UI) de trombina humana liofilizada estéril. * Una jeringa sin aguja que contiene 2 ml de agua para inyección estéril (API estéril) * Un adaptador de vial estéril.</v>
          </cell>
          <cell r="U2617">
            <v>168</v>
          </cell>
          <cell r="V2617">
            <v>416</v>
          </cell>
        </row>
        <row r="2618">
          <cell r="A2618">
            <v>2615</v>
          </cell>
          <cell r="B2618" t="str">
            <v>060.506.3841</v>
          </cell>
          <cell r="E2618" t="str">
            <v>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60 PARED: PARED ESTÁNDAR</v>
          </cell>
          <cell r="U2618">
            <v>4</v>
          </cell>
          <cell r="V2618">
            <v>8</v>
          </cell>
        </row>
        <row r="2619">
          <cell r="A2619">
            <v>2616</v>
          </cell>
          <cell r="B2619" t="str">
            <v>060.506.3858</v>
          </cell>
          <cell r="E2619" t="str">
            <v>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80 PARED: PARED ESTÁNDAR</v>
          </cell>
          <cell r="U2619">
            <v>2</v>
          </cell>
          <cell r="V2619">
            <v>4</v>
          </cell>
        </row>
        <row r="2620">
          <cell r="A2620">
            <v>2617</v>
          </cell>
          <cell r="B2620" t="str">
            <v>060.506.3908</v>
          </cell>
          <cell r="E2620" t="str">
            <v>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40 PARED: PARED ESTÁNDAR</v>
          </cell>
          <cell r="U2620">
            <v>4</v>
          </cell>
          <cell r="V2620">
            <v>8</v>
          </cell>
        </row>
        <row r="2621">
          <cell r="A2621">
            <v>2618</v>
          </cell>
          <cell r="B2621" t="str">
            <v>060.506.4245</v>
          </cell>
          <cell r="E2621" t="str">
            <v>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60 LONGITUD TOTAL: 60 PARED: PARED FINA, ANILLOS INTEGRADOS</v>
          </cell>
          <cell r="U2621">
            <v>2</v>
          </cell>
          <cell r="V2621">
            <v>4</v>
          </cell>
        </row>
        <row r="2622">
          <cell r="A2622">
            <v>2619</v>
          </cell>
          <cell r="B2622" t="str">
            <v>060.506.4492</v>
          </cell>
          <cell r="E2622" t="str">
            <v>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v>
          </cell>
          <cell r="U2622">
            <v>37961</v>
          </cell>
          <cell r="V2622">
            <v>94900</v>
          </cell>
        </row>
        <row r="2623">
          <cell r="A2623">
            <v>2620</v>
          </cell>
          <cell r="B2623" t="str">
            <v>060.520.0021</v>
          </cell>
          <cell r="E2623" t="str">
            <v>Infusor de presión positiva, con globo de elastómero; capacidad de 50 a 90 ml. Infusión de 30 min, 12, 24, 48, 50, 54, 60, 68, 100, 120, 135, 150 o 168 horas. Estéril y desechable. Pieza.</v>
          </cell>
          <cell r="U2623">
            <v>29608</v>
          </cell>
          <cell r="V2623">
            <v>74018</v>
          </cell>
        </row>
        <row r="2624">
          <cell r="A2624">
            <v>2621</v>
          </cell>
          <cell r="B2624" t="str">
            <v>060.520.0047</v>
          </cell>
          <cell r="E2624" t="str">
            <v>Infusor de presión positiva o bomba de infusión elastomérica. Infusor de presión positiva, con globo de elastómero; capacidad de 100 a 150 mL. Infusión de 30 min, 12, 24, 48, 50, 54, 60, 68, 100, 120, 135, 150 o 168 horas. Estéril y desechable Pieza.</v>
          </cell>
          <cell r="U2624">
            <v>3005</v>
          </cell>
          <cell r="V2624">
            <v>7511</v>
          </cell>
        </row>
        <row r="2625">
          <cell r="A2625">
            <v>2622</v>
          </cell>
          <cell r="B2625" t="str">
            <v>060.520.0054</v>
          </cell>
          <cell r="E2625" t="str">
            <v>INFUSOR DE PRESIÓN POSITIVA O BOMBA DE INFUSIÓN ELASTOMÉRICA. INFUSOR DE PRESIÓN POSITIVA, CON GLOBO DE ELASTÓMERO; CAPACIDAD DE 270 A 400 ML. INFUSIÓN DE 30 MIN, 12, 24, 48, 50, 54, 60, 68, 100, 120, 135, 150 O 168 HORAS. ESTÉRIL Y DESECHABLE PIEZA.</v>
          </cell>
          <cell r="U2625">
            <v>11926</v>
          </cell>
          <cell r="V2625">
            <v>29812</v>
          </cell>
        </row>
        <row r="2626">
          <cell r="A2626">
            <v>2623</v>
          </cell>
          <cell r="B2626" t="str">
            <v>060.527.0040</v>
          </cell>
          <cell r="E2626" t="str">
            <v>INTRODUCTORES. DE CATETER ARTERIAL O VENOSO. POR TECNICA PERCUTANEA. LONGITUD:11 A 11.4 CM. CALIBRE: 7 FR. PIEZA.</v>
          </cell>
          <cell r="U2626">
            <v>3802</v>
          </cell>
          <cell r="V2626">
            <v>9504</v>
          </cell>
        </row>
        <row r="2627">
          <cell r="A2627">
            <v>2624</v>
          </cell>
          <cell r="B2627" t="str">
            <v>060.527.0057</v>
          </cell>
          <cell r="E2627" t="str">
            <v>INTRODUCTORES. DE CATETER ARTERIAL O VENOSO. POR TECNICA PERCUTANEA. LONGITUD:11 A 11.4 CM. CALIBRE: 8 FR. PIEZA.</v>
          </cell>
          <cell r="U2627">
            <v>1368</v>
          </cell>
          <cell r="V2627">
            <v>3420</v>
          </cell>
        </row>
        <row r="2628">
          <cell r="A2628">
            <v>2625</v>
          </cell>
          <cell r="B2628" t="str">
            <v>060.527.0198</v>
          </cell>
          <cell r="E2628" t="str">
            <v>Introductores. Insertor guía para angioplastia coronaria diámetro 0.014" longitud 7 cm desechable. Pieza.</v>
          </cell>
          <cell r="U2628">
            <v>364</v>
          </cell>
          <cell r="V2628">
            <v>906</v>
          </cell>
        </row>
        <row r="2629">
          <cell r="A2629">
            <v>2626</v>
          </cell>
          <cell r="B2629" t="str">
            <v>060.527.0248</v>
          </cell>
          <cell r="E2629" t="str">
            <v>INTRODUCTORES. LARGOS CON VÁLVULA PARA VASOS ARTERIALES. LONGITUD: 23 A 25 CM. CALIBRE: 7 FR. ESTÉRIL Y DESECHABLE PIEZA.</v>
          </cell>
          <cell r="U2629">
            <v>302</v>
          </cell>
          <cell r="V2629">
            <v>753</v>
          </cell>
        </row>
        <row r="2630">
          <cell r="A2630">
            <v>2627</v>
          </cell>
          <cell r="B2630" t="str">
            <v>060.527.0271</v>
          </cell>
          <cell r="E2630" t="str">
            <v>Accesorios para marcapasos. Introductor para electrodo de marcapaso temporal. Pieza.</v>
          </cell>
          <cell r="U2630">
            <v>4668</v>
          </cell>
          <cell r="V2630">
            <v>11669</v>
          </cell>
        </row>
        <row r="2631">
          <cell r="A2631">
            <v>2628</v>
          </cell>
          <cell r="B2631" t="str">
            <v>060.527.0289</v>
          </cell>
          <cell r="E2631" t="str">
            <v>ACCESORIOS PARA MARCAPASOS. INTRODUCTOR PARA ELECTRODO DE MARCAPASO DEFINITIVO.PIEZA.</v>
          </cell>
          <cell r="U2631">
            <v>11008</v>
          </cell>
          <cell r="V2631">
            <v>27520</v>
          </cell>
        </row>
        <row r="2632">
          <cell r="A2632">
            <v>2629</v>
          </cell>
          <cell r="B2632" t="str">
            <v>060.527.0305</v>
          </cell>
          <cell r="E2632" t="str">
            <v>GUIAS. EQUIPO INTRODUCTOR DE CATETER ARTERIAL, CONSTA DE: UNA GUIA METALICA CONDILATADOR DE VASO, UNA FUNDA O CAMISA CON O SIN VALVULA, CALIBRES 5, 6, 7 Y 8FR. EQUIPO.</v>
          </cell>
          <cell r="U2632">
            <v>1131</v>
          </cell>
          <cell r="V2632">
            <v>2826</v>
          </cell>
        </row>
        <row r="2633">
          <cell r="A2633">
            <v>2630</v>
          </cell>
          <cell r="B2633" t="str">
            <v>060.527.0420</v>
          </cell>
          <cell r="E2633" t="str">
            <v>INTRODUCTORES. DE CATETER ARTERIAL. CONSTA DE: UNA GUIA METALICA DE 0.035" A0.038" CON DILATADOR DE VASO UNA FUNDA O CAMISA CON VALVULA HEMOSTATICA Y PUERTOLATERAL. CALIBRE: 5 FR. ESTERIL Y DESECHABLE. PIEZA. LAS MEDIDAS SERANSELECCIONADAS DE ACUERDO A LAS NECESIDADES DE LAS UNIDADES MEDICAS.</v>
          </cell>
          <cell r="U2633">
            <v>804</v>
          </cell>
          <cell r="V2633">
            <v>2008</v>
          </cell>
        </row>
        <row r="2634">
          <cell r="A2634">
            <v>2631</v>
          </cell>
          <cell r="B2634" t="str">
            <v>060.527.0461</v>
          </cell>
          <cell r="E2634" t="str">
            <v>INTRODUCTORES DE CATETER. CONSTA DE: UNA GUIA METALICA CON DILATADOR DE VASO,UNA CAMISA CON VALVULA DE 14 FR Y LONGITUD DE 23 CM, CON EXTENSION LATERAL YLLAVE EN "Y". PIEZA.</v>
          </cell>
          <cell r="U2634">
            <v>593</v>
          </cell>
          <cell r="V2634">
            <v>1479</v>
          </cell>
        </row>
        <row r="2635">
          <cell r="A2635">
            <v>2632</v>
          </cell>
          <cell r="B2635" t="str">
            <v>060.527.0479</v>
          </cell>
          <cell r="E2635" t="str">
            <v>INTRODUCTORES DE CATETER. CONSTA DE: UNA GUIA METALICA CON DILATADOR DE VASO,UNA CAMISA CON VALVULA DE 12 FR Y LONGITUD DE 23 CM, CON EXTENSION LATERAL YLLAVE EN "Y". PIEZA.</v>
          </cell>
          <cell r="U2635">
            <v>353</v>
          </cell>
          <cell r="V2635">
            <v>881</v>
          </cell>
        </row>
        <row r="2636">
          <cell r="A2636">
            <v>2633</v>
          </cell>
          <cell r="B2636" t="str">
            <v>060.527.0552</v>
          </cell>
          <cell r="E2636" t="str">
            <v>INTRODUCTORES. DE CATETER ARTERIAL. CONSTA DE: UNA GUIA METALICA DE 0.035" A0.038 " CON DILATADOR DE VASO UNA FUNDA O CAMISA CON VALVULA HEMOSTATICA YPUERTO LATERAL. CALIBRE: 6 FR. ESTERIL Y DESECHABLE. PIEZA. LAS MEDIDAS SERANSELECCIONADAS DE ACUERDO A LAS NECESIDADES DE LAS UNIDADES MEDICAS.</v>
          </cell>
          <cell r="U2636">
            <v>752</v>
          </cell>
          <cell r="V2636">
            <v>1878</v>
          </cell>
        </row>
        <row r="2637">
          <cell r="A2637">
            <v>2634</v>
          </cell>
          <cell r="B2637" t="str">
            <v>060.527.0560</v>
          </cell>
          <cell r="E2637" t="str">
            <v>INTRODUCTORES. DE CATÉTER ARTERIAL. CONSTA DE: UNA GUÍA METÁLICA DE 0.035 " A 0.038" CON DILATADOR DE VASO UNA FUNDA O CAMISA CON VÁLVULA HEMOSTÁTICA Y PUERTO LATERAL. CALIBRE: 7 FR. ESTÉRIL Y DESECHABLE. PIEZA.LAS MEDIDAS SERÁN SELECCIONADAS DE ACUERDO A LAS NECESIDADES DE LAS UNIDADES MÉDICAS.</v>
          </cell>
          <cell r="U2637">
            <v>663</v>
          </cell>
          <cell r="V2637">
            <v>1655</v>
          </cell>
        </row>
        <row r="2638">
          <cell r="A2638">
            <v>2635</v>
          </cell>
          <cell r="B2638" t="str">
            <v>060.527.0578</v>
          </cell>
          <cell r="E2638" t="str">
            <v>INTRODUCTORES. DE CATÉTER ARTERIAL. CONSTA DE: UNA GUÍA METÁLICA DE 0.035" A 0.038" CON DILATADOR DE VASO UNA FUNDA O CAMISA CON VÁLVULA HEMOSTÁTICA Y PUERTO LATERAL. CALIBRE: 8 FR. ESTÉRIL Y DESECHABLE. PIEZA. LAS MEDIDAS SERÁN SELECCIONADAS DE ACUERDO A LAS NECESIDADES DE LAS UNIDADES MÉDICAS.</v>
          </cell>
          <cell r="U2638">
            <v>330</v>
          </cell>
          <cell r="V2638">
            <v>823</v>
          </cell>
        </row>
        <row r="2639">
          <cell r="A2639">
            <v>2636</v>
          </cell>
          <cell r="B2639" t="str">
            <v>060.532.0019</v>
          </cell>
          <cell r="E2639" t="str">
            <v>Equipos. Para irrigación transuretral en "Y" para adaptarse a la bolsa de plástico con entrada especial. Complemento de la clave 060.833.0015. Equipo.</v>
          </cell>
          <cell r="U2639">
            <v>16655</v>
          </cell>
          <cell r="V2639">
            <v>41635</v>
          </cell>
        </row>
        <row r="2640">
          <cell r="A2640">
            <v>2637</v>
          </cell>
          <cell r="B2640" t="str">
            <v>060.532.0084</v>
          </cell>
          <cell r="E2640" t="str">
            <v>Equipos. Para venoclisis. Sin aguja estériles desechables. Microgotero. Equipo</v>
          </cell>
          <cell r="U2640">
            <v>6387458</v>
          </cell>
          <cell r="V2640">
            <v>15968642</v>
          </cell>
        </row>
        <row r="2641">
          <cell r="A2641">
            <v>2638</v>
          </cell>
          <cell r="B2641" t="str">
            <v>060.532.0167</v>
          </cell>
          <cell r="E2641" t="str">
            <v>Equipos. Para venoclisis. Sin aguja estériles desechables. Normogotero.</v>
          </cell>
          <cell r="U2641">
            <v>36983155</v>
          </cell>
          <cell r="V2641">
            <v>92457885</v>
          </cell>
        </row>
        <row r="2642">
          <cell r="A2642">
            <v>2639</v>
          </cell>
          <cell r="B2642" t="str">
            <v>060.532.0175</v>
          </cell>
          <cell r="E2642" t="str">
            <v>Equipos. Para transfusión, con filtro, sin aguja. Equipo.</v>
          </cell>
          <cell r="U2642">
            <v>1974089</v>
          </cell>
          <cell r="V2642">
            <v>4935220</v>
          </cell>
        </row>
        <row r="2643">
          <cell r="A2643">
            <v>2640</v>
          </cell>
          <cell r="B2643" t="str">
            <v>060.537.0048</v>
          </cell>
          <cell r="E2643" t="str">
            <v>JABONES. NEUTRO. PASTILLA DE 100 G. PIEZA. PIEZA.</v>
          </cell>
          <cell r="U2643">
            <v>8287</v>
          </cell>
          <cell r="V2643">
            <v>20714</v>
          </cell>
        </row>
        <row r="2644">
          <cell r="A2644">
            <v>2641</v>
          </cell>
          <cell r="B2644" t="str">
            <v>060.543.0115</v>
          </cell>
          <cell r="E2644" t="str">
            <v>Jaleas. Lubricante. Aséptica. Envase con 135 g.</v>
          </cell>
          <cell r="U2644">
            <v>825672</v>
          </cell>
          <cell r="V2644">
            <v>2064176</v>
          </cell>
        </row>
        <row r="2645">
          <cell r="A2645">
            <v>2642</v>
          </cell>
          <cell r="B2645" t="str">
            <v>060.543.0149</v>
          </cell>
          <cell r="E2645" t="str">
            <v>Soluciones . Colodión elástico. Envase con 1 lt.</v>
          </cell>
          <cell r="U2645">
            <v>31001</v>
          </cell>
          <cell r="V2645">
            <v>77501</v>
          </cell>
        </row>
        <row r="2646">
          <cell r="A2646">
            <v>2643</v>
          </cell>
          <cell r="B2646" t="str">
            <v>060.543.0172</v>
          </cell>
          <cell r="E2646" t="str">
            <v>ADHESIVO PARA PIEL A BASE DE 2-OCTIL O N-BUTIL CIANOACRILATO DE ALTA VISCOSIDAD EN ENVASE SIN APLICADOR. CONTENIENDO: 0.15 A 0.25 ML. ESTÉRIL. PIEZA.</v>
          </cell>
          <cell r="U2646">
            <v>8889</v>
          </cell>
          <cell r="V2646">
            <v>22219</v>
          </cell>
        </row>
        <row r="2647">
          <cell r="A2647">
            <v>2644</v>
          </cell>
          <cell r="B2647" t="str">
            <v>060.550.0024</v>
          </cell>
          <cell r="E2647" t="str">
            <v>Jeringas. De plástico. Con pivote tipo luer lock estériles y desechables. Capacidad 20 ml escala graduada en ml divisiones de 5.0 y subdivisiones de 1.0. Con aguja de: Longitud: 38 mm Calibre: 20 G. Pieza.</v>
          </cell>
          <cell r="U2647">
            <v>1325423</v>
          </cell>
          <cell r="V2647">
            <v>3313557</v>
          </cell>
        </row>
        <row r="2648">
          <cell r="A2648">
            <v>2645</v>
          </cell>
          <cell r="B2648" t="str">
            <v>060.550.0073</v>
          </cell>
          <cell r="E2648" t="str">
            <v>Jeringa.  Jeringa Reines con dos adaptadores y placa protectora. 50 ml.</v>
          </cell>
          <cell r="U2648">
            <v>1600</v>
          </cell>
          <cell r="V2648">
            <v>4000</v>
          </cell>
        </row>
        <row r="2649">
          <cell r="A2649">
            <v>2646</v>
          </cell>
          <cell r="B2649" t="str">
            <v>060.550.0222</v>
          </cell>
          <cell r="E2649" t="str">
            <v>Jeringas. De plástico sin aguja con pivote tipo luer lock estériles y desechables. Capacidad: 3 ml Escala graduada en ml Divisiones de 0.5 y subdivisiones de 0.1. Envase con 100 piezas excepto las 20 ml que es de 50.</v>
          </cell>
          <cell r="U2649">
            <v>122179</v>
          </cell>
          <cell r="V2649">
            <v>305445</v>
          </cell>
        </row>
        <row r="2650">
          <cell r="A2650">
            <v>2647</v>
          </cell>
          <cell r="B2650" t="str">
            <v>060.550.0354</v>
          </cell>
          <cell r="E2650" t="str">
            <v>Jeringas. De plástico. Con pivote tipo luer lock con aguja estériles y desechables. Capacidad 10 ml escala graduada en ml divisiones de 1.0 y subdivisiones de 0.2. Con aguja de: Longitud: 32 mm Calibre: 20 G. Pieza.</v>
          </cell>
          <cell r="U2650">
            <v>11916347</v>
          </cell>
          <cell r="V2650">
            <v>29790867</v>
          </cell>
        </row>
        <row r="2651">
          <cell r="A2651">
            <v>2648</v>
          </cell>
          <cell r="B2651" t="str">
            <v>060.550.0404</v>
          </cell>
          <cell r="E2651" t="str">
            <v>JERINGAS. DE PLÁSTICO CON BULBO DE HULE DESECHABLES. CAPACIDAD:60 ML. PIEZA.</v>
          </cell>
          <cell r="U2651">
            <v>28635</v>
          </cell>
          <cell r="V2651">
            <v>71586</v>
          </cell>
        </row>
        <row r="2652">
          <cell r="A2652">
            <v>2649</v>
          </cell>
          <cell r="B2652" t="str">
            <v>060.550.0438</v>
          </cell>
          <cell r="E2652" t="str">
            <v>Jeringas. De plástico sin aguja con pivote tipo luer lock estériles y desechables. Capacidad: 5 ml Escala graduada en ml Divisiones de 1.0 y subdivisiones de 0.2. Envase con 100 piezas excepto las 20 ml que es de 50.</v>
          </cell>
          <cell r="U2652">
            <v>1365334</v>
          </cell>
          <cell r="V2652">
            <v>3413333</v>
          </cell>
        </row>
        <row r="2653">
          <cell r="A2653">
            <v>2650</v>
          </cell>
          <cell r="B2653" t="str">
            <v>060.550.0446</v>
          </cell>
          <cell r="E2653" t="str">
            <v>Jeringas. De plástico sin aguja con pivote tipo luer lock estériles y desechables. Capacidad: 10 ml Escala graduada en ml Divisiones de 1.0 y subdivisiones de 0.2. Envase con 100 piezas excepto las 20 ml que es de 50.</v>
          </cell>
          <cell r="U2653">
            <v>1361011</v>
          </cell>
          <cell r="V2653">
            <v>3402526</v>
          </cell>
        </row>
        <row r="2654">
          <cell r="A2654">
            <v>2651</v>
          </cell>
          <cell r="B2654" t="str">
            <v>060.550.0453</v>
          </cell>
          <cell r="E2654" t="str">
            <v>Jeringas. De plástico sin aguja con pivote tipo luer lock estériles y desechables. Capacidad: 20 ml Escala graduada en ml Divisiones de 5.0 y subdivisiones de 1.0. Envase con 100 piezas excepto las 20 ml que es de 50.</v>
          </cell>
          <cell r="U2654">
            <v>1853015</v>
          </cell>
          <cell r="V2654">
            <v>4632534</v>
          </cell>
        </row>
        <row r="2655">
          <cell r="A2655">
            <v>2652</v>
          </cell>
          <cell r="B2655" t="str">
            <v>060.550.0636</v>
          </cell>
          <cell r="E2655" t="str">
            <v>Jeringas. De plástico para tuberculina de 1 ml de capacidad con aguja de 27 G x 13 mm con escala graduada en ml con divisiones de 0.1 y subdivisiones de 0.01 ml estéril y desechable. Envase con 200 piezas.</v>
          </cell>
          <cell r="U2655">
            <v>120646</v>
          </cell>
          <cell r="V2655">
            <v>301612</v>
          </cell>
        </row>
        <row r="2656">
          <cell r="A2656">
            <v>2653</v>
          </cell>
          <cell r="B2656" t="str">
            <v>060.550.0677</v>
          </cell>
          <cell r="E2656" t="str">
            <v>Jeringas. De plástico. Con pivote tipo luer lock con aguja estériles y desechables. Capacidad 10 ml escala graduada en ml divisiones de 1.0 y subdivisiones de 0.2. Con aguja de: Longitud: 32 mm Calibre: 21 G. Pieza.</v>
          </cell>
          <cell r="U2656">
            <v>7984118</v>
          </cell>
          <cell r="V2656">
            <v>19960293</v>
          </cell>
        </row>
        <row r="2657">
          <cell r="A2657">
            <v>2654</v>
          </cell>
          <cell r="B2657" t="str">
            <v>060.550.0685</v>
          </cell>
          <cell r="E2657" t="str">
            <v>JERINGAS. PARA EXTRAER SANGRE O INYECTAR SUSTANCIAS CON PIVOTE TIPO LUER LOCK DE POLIPROPILENO VOLUMEN DE 5 ML Y AGUJA CALIBRE 21 G Y 32 MM DE LONGITUD. ESTÉRIL. ENVASE CON 100 PIEZAS.</v>
          </cell>
          <cell r="U2657">
            <v>673514</v>
          </cell>
          <cell r="V2657">
            <v>1683781</v>
          </cell>
        </row>
        <row r="2658">
          <cell r="A2658">
            <v>2655</v>
          </cell>
          <cell r="B2658" t="str">
            <v>060.550.0792</v>
          </cell>
          <cell r="E2658" t="str">
            <v>JERINGAS. DE PLÁSTICO. DESECHABLES CON AGUJA RETRACTABLE. CAPACIDAD: 3 ML CALIBRE: LONGITUD: 20 G X 38 MM. ENVASE CON 100 PIEZAS.</v>
          </cell>
          <cell r="U2658">
            <v>416</v>
          </cell>
          <cell r="V2658">
            <v>1040</v>
          </cell>
        </row>
        <row r="2659">
          <cell r="A2659">
            <v>2656</v>
          </cell>
          <cell r="B2659" t="str">
            <v>060.550.0859</v>
          </cell>
          <cell r="E2659" t="str">
            <v>JERINGAS . DE PLÁSTICO. DESECHABLES CON AGUJA RETRACTABLE. CAPACIDAD: CALIBRE: LONGITUD: 3 ML. 21 G X 38 MM. ENVASE CON 100 PIEZAS.</v>
          </cell>
          <cell r="U2659">
            <v>240</v>
          </cell>
          <cell r="V2659">
            <v>596</v>
          </cell>
        </row>
        <row r="2660">
          <cell r="A2660">
            <v>2657</v>
          </cell>
          <cell r="B2660" t="str">
            <v>060.550.0867</v>
          </cell>
          <cell r="E2660" t="str">
            <v>Jeringas . De plástico. Desechables con aguja retractable. Capacidad: 3 ml. Calibre: 23 G. Longitud: 25 mm. Envase con 100 Piezas.</v>
          </cell>
          <cell r="U2660">
            <v>82</v>
          </cell>
          <cell r="V2660">
            <v>202</v>
          </cell>
        </row>
        <row r="2661">
          <cell r="A2661">
            <v>2658</v>
          </cell>
          <cell r="B2661" t="str">
            <v>060.550.0891</v>
          </cell>
          <cell r="E2661" t="str">
            <v>Jeringas. De vidrio con bulbo de hule reutilizables. Capacidad: 90 ml. Pieza.</v>
          </cell>
          <cell r="U2661">
            <v>89346</v>
          </cell>
          <cell r="V2661">
            <v>223363</v>
          </cell>
        </row>
        <row r="2662">
          <cell r="A2662">
            <v>2659</v>
          </cell>
          <cell r="B2662" t="str">
            <v>060.550.0909</v>
          </cell>
          <cell r="E2662" t="str">
            <v>Jeringas. De vidrio con bulbo de hule reutilizables. Capacidad: 60 ml. Pieza.</v>
          </cell>
          <cell r="U2662">
            <v>19820</v>
          </cell>
          <cell r="V2662">
            <v>49548</v>
          </cell>
        </row>
        <row r="2663">
          <cell r="A2663">
            <v>2660</v>
          </cell>
          <cell r="B2663" t="str">
            <v>060.550.0917</v>
          </cell>
          <cell r="E2663" t="str">
            <v>Jeringas. De plástico con bulbo de hule desechables. Capacidad:90 ml. Pieza.</v>
          </cell>
          <cell r="U2663">
            <v>80</v>
          </cell>
          <cell r="V2663">
            <v>200</v>
          </cell>
        </row>
        <row r="2664">
          <cell r="A2664">
            <v>2661</v>
          </cell>
          <cell r="B2664" t="str">
            <v>060.550.1147</v>
          </cell>
          <cell r="E2664" t="str">
            <v>Jeringas. Para tuberculina con aguja. Plástico grado médico capacidad 1 ml escala graduada en ml con divisiones de 0.05 ml y subdivisiones de 0.01 ml con aguja longitud16 mm calibre 25 G. Estériles y desechables. Envase con 200 piezas.</v>
          </cell>
          <cell r="U2664">
            <v>110585</v>
          </cell>
          <cell r="V2664">
            <v>276461</v>
          </cell>
        </row>
        <row r="2665">
          <cell r="A2665">
            <v>2662</v>
          </cell>
          <cell r="B2665" t="str">
            <v>060.550.1279</v>
          </cell>
          <cell r="E2665" t="str">
            <v>Jeringas. De plástico grado médico con pivote tipo luer lock capacidad de 3 ml escala graduada en ml con divisiones de 0.5 ml y subdivisiones de 0.1 ml con aguja calibre 22 G y 32 mm de longitud. Estéril y desechable. Pieza.</v>
          </cell>
          <cell r="U2665">
            <v>12473599</v>
          </cell>
          <cell r="V2665">
            <v>31183997</v>
          </cell>
        </row>
        <row r="2666">
          <cell r="A2666">
            <v>2663</v>
          </cell>
          <cell r="B2666" t="str">
            <v>060.550.1681</v>
          </cell>
          <cell r="E2666" t="str">
            <v>Jeringas. Para insuflar globos de alta presión de los catéteres de dilatación acoplables al manómetro de los equipos de angioplastia Pieza.</v>
          </cell>
          <cell r="U2666">
            <v>192664</v>
          </cell>
          <cell r="V2666">
            <v>481659</v>
          </cell>
        </row>
        <row r="2667">
          <cell r="A2667">
            <v>2664</v>
          </cell>
          <cell r="B2667" t="str">
            <v>060.550.2186</v>
          </cell>
          <cell r="E2667" t="str">
            <v>Jeringas. Jeringa para insulina de plástico grado médico; graduada de 0 a 100 unidades con capacidad de 1 ml. Con aguja de acero inoxidable longitud 13 mm calibre 27 G. Estéril y desechable. Pieza.</v>
          </cell>
          <cell r="U2667">
            <v>34613804</v>
          </cell>
          <cell r="V2667">
            <v>86534507</v>
          </cell>
        </row>
        <row r="2668">
          <cell r="A2668">
            <v>2665</v>
          </cell>
          <cell r="B2668" t="str">
            <v>060.550.2517</v>
          </cell>
          <cell r="E2668" t="str">
            <v>JERINGAS. DE PLASTICO GRADO MEDICO CON PIVOTE TIPO LUER LOCK CAPACIDAD DE 10 MLESCALA GRADUADA EN ML CON DIVISIONES DE 1.0 ML Y SUBDIVISIONES DE 0.2 ML CONAGUJA CALIBRE 20 G Y 36 MM DE LONGITUD. ESTERIL Y DESECHABLE. PIEZA.</v>
          </cell>
          <cell r="U2668">
            <v>128196</v>
          </cell>
          <cell r="V2668">
            <v>320486</v>
          </cell>
        </row>
        <row r="2669">
          <cell r="A2669">
            <v>2666</v>
          </cell>
          <cell r="B2669" t="str">
            <v>060.550.2590</v>
          </cell>
          <cell r="E2669" t="str">
            <v>JERINGAS. DE PLASTICO GRADO MEDICO DE 1 ML DE CAPACIDAD ESCALA GRADUADA EN MLCON DIVISIONES DE 0.1 Y SUBDIVISIONES DE 0.01 ML Y AGUJA DE 22 G Y 32 MM DELONGITUD ESTERIL Y DESECHABLE. PIEZA.</v>
          </cell>
          <cell r="U2669">
            <v>437428</v>
          </cell>
          <cell r="V2669">
            <v>1093566</v>
          </cell>
        </row>
        <row r="2670">
          <cell r="A2670">
            <v>2667</v>
          </cell>
          <cell r="B2670" t="str">
            <v>060.550.2608</v>
          </cell>
          <cell r="E2670" t="str">
            <v>JERINGAS. DE PLASTICO GRADO MEDICO DE 5 ML DE CAPACIDAD ESCALA GRADUADA EN MLCON DIVISIONES DE 1.0 ML Y SUBDIVISIONES DE 0.2 Y AGUJA DE 20 G Y 38 MM DELONGITUD ESTERIL Y DESECHABLE. PIEZA.</v>
          </cell>
          <cell r="U2670">
            <v>7902128</v>
          </cell>
          <cell r="V2670">
            <v>19755320</v>
          </cell>
        </row>
        <row r="2671">
          <cell r="A2671">
            <v>2668</v>
          </cell>
          <cell r="B2671" t="str">
            <v>060.550.2640</v>
          </cell>
          <cell r="E2671" t="str">
            <v>Jeringas. De plástico para aplicar DPT y toxoide tetánico capacidad 0.5 ml con dos agujas una calibre 20 x 32 mm para cargar la jeringa con el biológico y otra 22 x 32 mm para aplicar la vacuna cada jeringa con la leyenda "PROGRAMA DE ATENCIÓN A LA SALUD DEL NIÑO" (según programa vigente). Estéril y desechable. Empaque protector individual y graduación. Caja contenedora con 100 piezas.</v>
          </cell>
          <cell r="U2671">
            <v>300543</v>
          </cell>
          <cell r="V2671">
            <v>751357</v>
          </cell>
        </row>
        <row r="2672">
          <cell r="A2672">
            <v>2669</v>
          </cell>
          <cell r="B2672" t="str">
            <v>060.550.2657</v>
          </cell>
          <cell r="E2672" t="str">
            <v>JERINGAS. DE PLÁSTICO PARA APLICAR BCG Y ANTISARAMPIÓN CAPACIDAD 0.5 ML CON DOS AGUJAS UNA CALIBRE 20 X 32 MM PARA CARGAR LA JERINGA CON EL BIOLÓGICO Y OTRA 27 X 13 MM PARA APLICAR LA VACUNA CADA JERINGA CON LA LEYENDA "PROGRAMA DE ATENCIÓN A LA SALUD DEL NIÑO" (SEGÚN PROGRAMA VIGENTE). ESTÉRIL Y DESECHABLE. EMPAQUE PROTECTOR INDIVIDUAL Y GRADUACIÓN. CAJA CONTENEDORA CON 100 PIEZAS.</v>
          </cell>
          <cell r="U2672">
            <v>175739</v>
          </cell>
          <cell r="V2672">
            <v>439345</v>
          </cell>
        </row>
        <row r="2673">
          <cell r="A2673">
            <v>2670</v>
          </cell>
          <cell r="B2673" t="str">
            <v>060.550.2699</v>
          </cell>
          <cell r="E2673" t="str">
            <v>Jeringas. Jeringa desechable para aplicar vacuna contra Hepatitis "B" capacidad 1.0 ml graduada en décimas de milímetros con dos agujas: Una de calibre 20 x 32 para cargar la jeringa con el biológico y otra de calibre 25 x 16 para aplicar la vacuna con émbolo que permite la inutilización de la misma después de su uso. Con la leyenda "Vacunación Universal . Caja incinerable con 50 jeringas.</v>
          </cell>
          <cell r="U2673">
            <v>102282</v>
          </cell>
          <cell r="V2673">
            <v>255703</v>
          </cell>
        </row>
        <row r="2674">
          <cell r="A2674">
            <v>2671</v>
          </cell>
          <cell r="B2674" t="str">
            <v>060.550.2707</v>
          </cell>
          <cell r="E2674" t="str">
            <v>Jeringas. Jeringa desechable para aplicar 0.25 ml de vacuna Antiinfluenza; capacidad de 0.5 ml graduada en décimas de ml (0.25 ml) con dos agujas: Una de calibre 20 x 32 mm para cargar la jeringa con el biológico y otra de calibre 23 x 25 mm para aplicar la vacuna; con émbolo que permita la inutilización de la misma después de su uso. Con la leyenda "Vacunación Universal . Caja incinerable con 50 ó 100 Piezas.</v>
          </cell>
          <cell r="U2674">
            <v>821551</v>
          </cell>
          <cell r="V2674">
            <v>2053875</v>
          </cell>
        </row>
        <row r="2675">
          <cell r="A2675">
            <v>2672</v>
          </cell>
          <cell r="B2675" t="str">
            <v>060.550.2723</v>
          </cell>
          <cell r="E2675" t="str">
            <v>JERINGAS. JERINGA PARA INSULINA CON AGUJA INTEGRADA Y ESPACIO MUERTO INFERIOR DE0.005ML. DE PLASTICO GRADO MEDICO; ESCALA GRADUADA DE 0 A 50 UNIDADES CONCAPACIDAD DE 0.5 ML. CON AGUJA INTEGRADA DE ACERO INOXIDABLE, LONGITUD 8 MM.,CALIBRE 31G. ESTERIL Y DESECHABLE. PIEZA.</v>
          </cell>
          <cell r="U2675">
            <v>1451816</v>
          </cell>
          <cell r="V2675">
            <v>3629538</v>
          </cell>
        </row>
        <row r="2676">
          <cell r="A2676">
            <v>2673</v>
          </cell>
          <cell r="B2676" t="str">
            <v>060.551.0015</v>
          </cell>
          <cell r="E2676" t="str">
            <v>JERINGAS. DE PLÁSTICO PARA INSUFLAR EL GLOBO DEL CATÉTER DE DILATACIÓN DE VÁLVULAS CARDIACAS Y MANTENER LA PRESIÓN CAPACIDAD 50 CC CON MANÓMETRO INTEGRADO. PIEZA.</v>
          </cell>
          <cell r="U2676">
            <v>13848</v>
          </cell>
          <cell r="V2676">
            <v>34616</v>
          </cell>
        </row>
        <row r="2677">
          <cell r="A2677">
            <v>2674</v>
          </cell>
          <cell r="B2677" t="str">
            <v>060.551.0023</v>
          </cell>
          <cell r="E2677" t="str">
            <v>INYECTOR. PARA VARICES ESOFAGICAS (ESCLEROTERAPIA) CON AGUJA DISTAL NO. 23 GCALIBRE 4 FR Y 200 CM DE LONGITUD PIEZA.</v>
          </cell>
          <cell r="U2677">
            <v>244</v>
          </cell>
          <cell r="V2677">
            <v>608</v>
          </cell>
        </row>
        <row r="2678">
          <cell r="A2678">
            <v>2675</v>
          </cell>
          <cell r="B2678" t="str">
            <v>060.551.0031</v>
          </cell>
          <cell r="E2678" t="str">
            <v>JERINGAS. PARA ANGIOCARDIOGRAFIA DE 100 A 150 ML DE CAPACIDAD CONSUMIBLE DELEQUIPO INYECTOR DE MEDIO DE CONTRASTE DE ALTA PRESION DESECHABLE. PIEZA.</v>
          </cell>
          <cell r="U2678">
            <v>420</v>
          </cell>
          <cell r="V2678">
            <v>1048</v>
          </cell>
        </row>
        <row r="2679">
          <cell r="A2679">
            <v>2676</v>
          </cell>
          <cell r="B2679" t="str">
            <v>060.551.2078</v>
          </cell>
          <cell r="E2679" t="str">
            <v>JERINGAS. HIPODERMICA, REUTILIZABLE, PARA CARTUCHO ANESTESICO. TIPO CARPULE.PIEZA.</v>
          </cell>
          <cell r="U2679">
            <v>33334</v>
          </cell>
          <cell r="V2679">
            <v>83334</v>
          </cell>
        </row>
        <row r="2680">
          <cell r="A2680">
            <v>2677</v>
          </cell>
          <cell r="B2680" t="str">
            <v>060.551.2201</v>
          </cell>
          <cell r="E2680" t="str">
            <v>Jeringas. De plástico para insuflar el globo del catéter de dilatación de arterias coronarias para mantener y medir la presión con capacidad de 20 cc. Pieza.</v>
          </cell>
          <cell r="U2680">
            <v>177</v>
          </cell>
          <cell r="V2680">
            <v>441</v>
          </cell>
        </row>
        <row r="2681">
          <cell r="A2681">
            <v>2678</v>
          </cell>
          <cell r="B2681" t="str">
            <v>060.551.2227</v>
          </cell>
          <cell r="E2681" t="str">
            <v>Jeringas. De plástico grado médico para aspiración manual endouterina reesterilizable capacidad de 60 ml con anillo de seguridad émbolo en forma de abanico extremo interno en forma cónica con anillo de goma negro en su interior y dos válvulas de control externas. Para cánulas de 4, 5, 6, 7, 8, 9, y 12 mm de diámetro. Pieza.</v>
          </cell>
          <cell r="U2681">
            <v>23213</v>
          </cell>
          <cell r="V2681">
            <v>58029</v>
          </cell>
        </row>
        <row r="2682">
          <cell r="A2682">
            <v>2679</v>
          </cell>
          <cell r="B2682" t="str">
            <v>060.570.0012</v>
          </cell>
          <cell r="E2682" t="str">
            <v>LIGAS. ELASTICA (0S). ENVASE CON 1000 PIEZAS.</v>
          </cell>
          <cell r="U2682">
            <v>4327</v>
          </cell>
          <cell r="V2682">
            <v>10815</v>
          </cell>
        </row>
        <row r="2683">
          <cell r="A2683">
            <v>2680</v>
          </cell>
          <cell r="B2683" t="str">
            <v>060.570.0079</v>
          </cell>
          <cell r="E2683" t="str">
            <v>LIGAS. PARA ORTODONCIA. PARA COLOCACION EN LA REDUCCION DE FRACTURAS FIJACIONDEL ARCO SUPERIOR AL INFERIOR TRACCION MEDIA. DIAMETRO: 3/16". ENVASE CON 100PIEZAS.</v>
          </cell>
          <cell r="U2683">
            <v>1351</v>
          </cell>
          <cell r="V2683">
            <v>3375</v>
          </cell>
        </row>
        <row r="2684">
          <cell r="A2684">
            <v>2681</v>
          </cell>
          <cell r="B2684" t="str">
            <v>060.570.0087</v>
          </cell>
          <cell r="E2684" t="str">
            <v>LIGAS. PARA ORTODONCIA: DE HULE LATEX. EXTRABUCALES DE 12.7 MM O 1/". ENVASE CON100 PIEZAS.</v>
          </cell>
          <cell r="U2684">
            <v>404</v>
          </cell>
          <cell r="V2684">
            <v>1008</v>
          </cell>
        </row>
        <row r="2685">
          <cell r="A2685">
            <v>2682</v>
          </cell>
          <cell r="B2685" t="str">
            <v>060.593.0106</v>
          </cell>
          <cell r="E2685" t="str">
            <v>LOSETA. PARA BATIR CEMENTO. DE VIDRIO. TAMAÑO: 8 X 12 X 0.5 CM. PIEZA.</v>
          </cell>
          <cell r="U2685">
            <v>9278</v>
          </cell>
          <cell r="V2685">
            <v>23194</v>
          </cell>
        </row>
        <row r="2686">
          <cell r="A2686">
            <v>2683</v>
          </cell>
          <cell r="B2686" t="str">
            <v>060.596.0111</v>
          </cell>
          <cell r="E2686" t="str">
            <v>LUBRICANTES. GLICERINA. ENVASE CON 1 LT.</v>
          </cell>
          <cell r="U2686">
            <v>1038</v>
          </cell>
          <cell r="V2686">
            <v>2591</v>
          </cell>
        </row>
        <row r="2687">
          <cell r="A2687">
            <v>2684</v>
          </cell>
          <cell r="B2687" t="str">
            <v>060.596.0129</v>
          </cell>
          <cell r="E2687" t="str">
            <v>EQUIPOS. LIQUIDO LUBRICANTE DE SILICON PARA JERINGA DE ASPIRACION MANUALENDOUTERINA. FRASCO GOTERO CON 3 ML.</v>
          </cell>
          <cell r="U2687">
            <v>222</v>
          </cell>
          <cell r="V2687">
            <v>552</v>
          </cell>
        </row>
        <row r="2688">
          <cell r="A2688">
            <v>2685</v>
          </cell>
          <cell r="B2688" t="str">
            <v>060.596.0137</v>
          </cell>
          <cell r="E2688" t="str">
            <v>Gel. Lubricante a base de agua. Envase con 2 a 60 g.</v>
          </cell>
          <cell r="U2688">
            <v>5109930</v>
          </cell>
          <cell r="V2688">
            <v>12774824</v>
          </cell>
        </row>
        <row r="2689">
          <cell r="A2689">
            <v>2686</v>
          </cell>
          <cell r="B2689" t="str">
            <v>060.596.0145</v>
          </cell>
          <cell r="E2689" t="str">
            <v>LUBRICANTE VISCOELÁSTICO. LUBRICANTE VISCOELÁSTICO TRANSPARENTE Y ESTÉRIL MEDIANTE EL USO DE CALOR HÚMEDO. PRODUCIDO BIOSINTÉTICAMENTE PURIFICADO Y ESTABILIZADO PARA APLICACIÓN INTRAARTICULAR. CONTIENE: 20 MG/ML DE ÁCIDO HIALURÓNICO ESTABILIZADO DE ORIGEN NO ANIMAL EN UNA SOLUCIÓN FISIOLÓGICA TAMPONADA DE CLORURO DE SODIO PH7. ENVASE CON 1 JERINGA PRELLENADA DE 3ML DE ÁCIDO HIALURÓNICO (60MG/3ML) PARA USO ÚNICO.</v>
          </cell>
          <cell r="U2689">
            <v>504</v>
          </cell>
          <cell r="V2689">
            <v>1260</v>
          </cell>
        </row>
        <row r="2690">
          <cell r="A2690">
            <v>2687</v>
          </cell>
          <cell r="B2690" t="str">
            <v>060.597.0037</v>
          </cell>
          <cell r="E2690" t="str">
            <v>RESINAS. AUTOPOLIMERIZABLES. PARA RESTAURACIÓN DE DIENTES ANTERIORES. EPÓXICAS A BASE DE CUARZO Y AGLUTINANTES. ESTUCHE CON BASE Y CATALIZADOR.</v>
          </cell>
          <cell r="U2690">
            <v>120</v>
          </cell>
          <cell r="V2690">
            <v>300</v>
          </cell>
        </row>
        <row r="2691">
          <cell r="A2691">
            <v>2688</v>
          </cell>
          <cell r="B2691" t="str">
            <v>060.598.0010</v>
          </cell>
          <cell r="E2691" t="str">
            <v>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v>
          </cell>
          <cell r="U2691">
            <v>7124240</v>
          </cell>
          <cell r="V2691">
            <v>17810599</v>
          </cell>
        </row>
        <row r="2692">
          <cell r="A2692">
            <v>2689</v>
          </cell>
          <cell r="B2692" t="str">
            <v>060.598.0036</v>
          </cell>
          <cell r="E2692" t="str">
            <v>Llaves. De tres vías con tubo de extensión. De plástico rígido o equivalente con tubo de extensión de cloruro de polivinilo de 80 cm de longitud. Pieza.</v>
          </cell>
          <cell r="U2692">
            <v>1143865</v>
          </cell>
          <cell r="V2692">
            <v>2859662</v>
          </cell>
        </row>
        <row r="2693">
          <cell r="A2693">
            <v>2690</v>
          </cell>
          <cell r="B2693" t="str">
            <v>060.598.0200</v>
          </cell>
          <cell r="E2693" t="str">
            <v>Manifold. Hilera de 5 vías desechable. Pieza.</v>
          </cell>
          <cell r="U2693">
            <v>108220</v>
          </cell>
          <cell r="V2693">
            <v>270548</v>
          </cell>
        </row>
        <row r="2694">
          <cell r="A2694">
            <v>2691</v>
          </cell>
          <cell r="B2694" t="str">
            <v>060.598.0226</v>
          </cell>
          <cell r="E2694" t="str">
            <v>Llaves. De cuatro vías sin extensión de plástico. Estéril y desechable. Pieza.</v>
          </cell>
          <cell r="U2694">
            <v>230848</v>
          </cell>
          <cell r="V2694">
            <v>577120</v>
          </cell>
        </row>
        <row r="2695">
          <cell r="A2695">
            <v>2692</v>
          </cell>
          <cell r="B2695" t="str">
            <v>060.602.0303</v>
          </cell>
          <cell r="E2695" t="str">
            <v>Malla para la corrección de incontinencia urinaria femenina vía vaginal abdominal o transobturador. Incluye: Introductor con empuñadura y guía rígida de metal o plástico; cinta de polipropileno cubierta con una o dos agujas en sus extremos o con puntas adecuadas al dispositivo introductor. Estéril y desechable. Envase</v>
          </cell>
          <cell r="U2695">
            <v>3912</v>
          </cell>
          <cell r="V2695">
            <v>9776</v>
          </cell>
        </row>
        <row r="2696">
          <cell r="A2696">
            <v>2693</v>
          </cell>
          <cell r="B2696" t="str">
            <v>060.603.0013</v>
          </cell>
          <cell r="E2696" t="str">
            <v>Mallas. Malla de polipropileno anudado de 25 a 35 cm x 25 a 35 cm. Pieza.</v>
          </cell>
          <cell r="U2696">
            <v>114281</v>
          </cell>
          <cell r="V2696">
            <v>285702</v>
          </cell>
        </row>
        <row r="2697">
          <cell r="A2697">
            <v>2694</v>
          </cell>
          <cell r="B2697" t="str">
            <v>060.603.0088</v>
          </cell>
          <cell r="E2697" t="str">
            <v>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6” x 8”</v>
          </cell>
          <cell r="U2697">
            <v>12</v>
          </cell>
          <cell r="V2697">
            <v>30</v>
          </cell>
        </row>
        <row r="2698">
          <cell r="A2698">
            <v>2695</v>
          </cell>
          <cell r="B2698" t="str">
            <v>060.603.0096</v>
          </cell>
          <cell r="E2698" t="str">
            <v>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8” x 10”</v>
          </cell>
          <cell r="U2698">
            <v>29</v>
          </cell>
          <cell r="V2698">
            <v>71</v>
          </cell>
        </row>
        <row r="2699">
          <cell r="A2699">
            <v>2696</v>
          </cell>
          <cell r="B2699" t="str">
            <v>060.603.0104</v>
          </cell>
          <cell r="E2699" t="str">
            <v>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10” X 12”</v>
          </cell>
          <cell r="U2699">
            <v>13</v>
          </cell>
          <cell r="V2699">
            <v>31</v>
          </cell>
        </row>
        <row r="2700">
          <cell r="A2700">
            <v>2697</v>
          </cell>
          <cell r="B2700" t="str">
            <v>060.604.0087</v>
          </cell>
          <cell r="E2700" t="str">
            <v>MARCAPASO CARDIACO MULTIPROGRAMABLE, DEFINITIVO, UNIPOLAR CON CONECTOR DE 3.2MM. CARDIACO MULTIPROGRAMABLE DEFINITIVO UNIPOLAR CON CONECTOR DE 3.2 MM.FUNCIONES PROGRAMABLES, MAS DE 5, TELEMETRIA; PESO MENOR A 26 G; GROSOR MENOR A7 MM; FUENTE DE ALIMENTACION: LITIO-YODO; VOLTAJE DE LA BATERIA 2.8 V.REFACCIONES: NO REQUIERE. ACCESORIOS OPCIONALES: NO REQUIERE. CONSUMIBLES: NOREQUIERE. INSTALACIÓN: NO REQUIERE. OPERACIÓN. POR PERSONAL ESPECIALIZADO Y DEACUERDO AL MANUAL DE OPERACIÓN. MANTENIMIENTO PREVENTIVO. CORRECTIVO PORPERSONAL CALIFICADO.</v>
          </cell>
          <cell r="U2700">
            <v>70</v>
          </cell>
          <cell r="V2700">
            <v>172</v>
          </cell>
        </row>
        <row r="2701">
          <cell r="A2701">
            <v>2698</v>
          </cell>
          <cell r="B2701" t="str">
            <v>060.604.0145</v>
          </cell>
          <cell r="E2701" t="str">
            <v>Marcapaso cardíaco multiprogramable definitivo bipolar con conector de 3.2 mm. Cardiaco multiprogramable definitivo bipolar; con conector de 3.2 mm; Funciones programables más de 5 telemetría; Peso menor a 26 g; Grosor menor a 7 mm; Fuente de alimentación: litio-yodo; Voltaje de la batería 2.8 V.</v>
          </cell>
          <cell r="U2701">
            <v>1576</v>
          </cell>
          <cell r="V2701">
            <v>3936</v>
          </cell>
        </row>
        <row r="2702">
          <cell r="A2702">
            <v>2699</v>
          </cell>
          <cell r="B2702" t="str">
            <v>060.604.0160</v>
          </cell>
          <cell r="E2702" t="str">
            <v>Marcapaso cardíaco multiprogramable definitivo bipolar de doble cámara. Marcapaso cardiaco multiprogramable definitivo bipolar de doble cámara; Conector de 3.2 mm; Funciones programables más de 10 telemetría; Peso menor a 55 g; Grosor menor a 11 mm; Fuente de alimentación: litio-yodo; Voltaje de la batería 2.8 V; Requiere auricular; Electrodos en "J" de 3.2 mm y ventricular de 3.2 mm.</v>
          </cell>
          <cell r="U2702">
            <v>3552</v>
          </cell>
          <cell r="V2702">
            <v>8878</v>
          </cell>
        </row>
        <row r="2703">
          <cell r="A2703">
            <v>2700</v>
          </cell>
          <cell r="B2703" t="str">
            <v>060.604.0418</v>
          </cell>
          <cell r="E2703" t="str">
            <v>MARCAPASO CARDÍACO BICAMERAL CON ACTIVIDAD DE FRECUENCIA. MARCAPASO CARDIACO TIPO: BICAMERAL CON ACTIVIDAD DE FRECUENCIA; ESPECIFICACIONES: MULTIPROGRAMACIÓN DE FUNCIONES CON UN MÍNIMO DE 10 FUNCIONES; POLARIDAD: DE SENSADO BIPOLAR DE ESTIMULACIÓN BIPOLAR; MODO DE ESTIMULACIÓN: DDDR; ADAPTACIÓN DE FRECUENCIA: BAJO MEDIO ALTO O MÁS (MEDIO BAJO O MEDIO ALTO); AMPLITUD DE VOLTAJE: PROGRAMABLE EN FORMA INDEPENDIENTE POR CÁMARA; DIMENSIONES: PESO MENOR DE 40 GRS Y MENOS DE 9 MM DE GROSOR; LONGEVIDAD: 7 AÑOS EN ADELANTE A PARÁMETROS NOMINALES; 8.- CUBIERTA: CAJA DE TITANIO; FUENTE DE ENERGÍA: YODURO DE LITIO; ELECTRODOS CUBIERTOS CON SILICÓN O POLIURETANO CON CONDUCTORES DE DIFERENTES METALES; FIJACIÓN ACTIVA CON TORNILLOS PARA LA AURÍCULA Y PASIVA PARA EL VENTRÍCULO; DIÁMETRO: 3.2 MM; LONGITUD: 50 A 60 CM; INTRODUCTOR: DOS IINTRODUCTORES PARA VENA SUBCLAVIA (CON TÉCNICA DE PEEL OFF); GUÍAS METÁLICAS EN "J".</v>
          </cell>
          <cell r="U2703">
            <v>4243</v>
          </cell>
          <cell r="V2703">
            <v>10606</v>
          </cell>
        </row>
        <row r="2704">
          <cell r="A2704">
            <v>2701</v>
          </cell>
          <cell r="B2704" t="str">
            <v>060.604.0426</v>
          </cell>
          <cell r="E2704" t="str">
            <v>Marcapaso cardíaco unicameral con actividad de frecuencia. Marcapaso cardiaco tipo: Unicameral con actividad de frecuencia; Especificaciones: Multiprogramación de funciones con un mínimo de 7 funciones; Polaridad: bipolar; Modo de estimulación: SSIR; Adaptación de frecuencia: bajo medio alto o más (medio bajo o medio alto); Dimensiones: peso menor de 30 gr y menos de 19 mm de grosor; Longevidad: 7 años en adelante a parámetros nominales; Cubierta: caja de titanio; Fuente de energía: yoduro de litio; Electrodos cubiertos de silicón o poliuretano con conductores de diferentes metales; Fijación pasiva para el ventrículo y activa con tornillo para la aurícula; Diámetro: 3.2 mm; Longitud: 50 a 60 cm; Introductor: dos iIntroductores para vena subclavia (con técnica de Peel Off); Guías: metálicas en "J" para la aurícula.</v>
          </cell>
          <cell r="U2704">
            <v>1072</v>
          </cell>
          <cell r="V2704">
            <v>2680</v>
          </cell>
        </row>
        <row r="2705">
          <cell r="A2705">
            <v>2702</v>
          </cell>
          <cell r="B2705" t="str">
            <v>060.604.0434</v>
          </cell>
          <cell r="E2705" t="str">
            <v>MARCAPASO CARDIACO DEFINITIVO BIPOLAR DE UNA SOLA CAMARA MULTIPROGRAMABLE.MARCAPASO CARDIACO MULTIPROGRAMABLE; DEFINITIVO BIPOLAR EN LINEA DE UNA SOLACAMARA, CON SENSOR A LA ACTIVIDAD; CONECTOR IS-1/3.2 MM; FUNCIONES PROGRAMABLES:15 O MAS; TELEMETRIA EN TIEMPO REAL; PROGRAMAS TEMPORALES; MODO DE ESTIMULACION:VVIR, VVI, VVT, VOO, VOOR, OVO, AAIR, AAI AAT, AOO, AOOR, OAO; FUNCIONES DELSENSOR; PROGRAMA DE ACELERACION; PROGRAMA DE DESACELERACION; UMBRAL DE ACTIVIDADPROGRAMABLE; FRECUENCIA MAXIMA DE ACTIVIDAD; PESO: 30 G O MENOS; GROSOR:8.0 MM OMENOS; FUENTE DE ALIMENTACION: YODO-LITIO; VOLTAJE DE LA BATERIA: 3.0 VOLTS OMENOS; FUNCIONES DE DIAGNOSTICO; CONTADORES DE EVENTOS; HISTOGRAMA DEFRECUENCIA; REGISTRO DE EXTASISTOLES; MONITOR Y TENDENCIA DEL ELECTRODO;ESTIMADO DE LONGEVIDAD AUTOACTUALIZABLE; ELECTROGRAMA CON CANAL DE MARCAS;INDICADOR DE REEMPLAZO ELECTIVO; POLARIDAD PROGRAMABLE (BIP-UNIP); PRUEBAAUTOMATICA DE UMBRALES DE ESTIMULACION Y ACTIVIDAD; ESTIMULACION UNIPOLAR DEAPOYO (SOLO BIPS); HISTERESIS UNICAMERAL. REFACCIONES: NO REQUIERE. ACCESORIOSOPCIONALES: NO REQUIERE. CONSUMIBLES: NO REQUIERE. INSTALACION: NO REQUIERE.OPERACION: POR PERSONAL ESPECIALIZADO Y DE ACUERDO AL MANUAL DE OPERACION.MANTENIMIENTO: PREVENTIVO. CORRECTIVO POR PERSONAL CALIFICADO.</v>
          </cell>
          <cell r="U2705">
            <v>770</v>
          </cell>
          <cell r="V2705">
            <v>1924</v>
          </cell>
        </row>
        <row r="2706">
          <cell r="A2706">
            <v>2703</v>
          </cell>
          <cell r="B2706" t="str">
            <v>060.604.0442</v>
          </cell>
          <cell r="E2706" t="str">
            <v>MARCAPASO BIPOLAR DOBLE. MARCAPASO CARDIACO MULTIPROGRAMABLE. DEFINITIVO BIPOLAREN LINEA DE UNA DOBLE CAMARA, CON SENSOR A LA ACTIVIDAD; CONECTOR IS-1/3.2 MM;18 O MAS FUNCIONES PROGRAMABLES; TELEMETRIA EN TIEMPO REAL; PROGRAMASTEMPORALES; MODO DE ESTIMULACION DE FRECUENCIA; AUTORREGULABLE CON SENSOR DDDR,DDD, DDIR, DDI, DVIR, DVI, VVIR, VVI, AAIR, AAI, VVT, AAT, DOOR, VDD, VOOR, VOO,AOO, AOOR, ODO; FUNCIONES DEL SENSOR: PROGRAMA DE ACELERACION; PROGRAMA DEDESACELERACION; UMBRAL DE ACTIVIDAD PROGRAMABLE; FRECUENCIA MAXIMA DE ACTIVIDAD;INTERCALO AV ADAPTABLE A LA FRECUENCIA; PESO: 30 G O MENOS; GROSOR 8.0 MM OMENOS; FUENTE DE ALIMENTACION: YODO-LITIO; VOLTAJE DE LA BATERIA: 3.0 VOLTS OMENOS; FUNCIONES DE DIAGNOSTICO; CONTADORES DE EVENTOS; HISTOGRAMA DEFRECUENCIA; REGISTRO DE EXTRASISTOLES; MONITOR Y TENDENCIA DEL ELECTRODO;ESTIMADO DE LONGEVIDAD AUTOACTUALIZABLE; ELECTROGRAMA CON CANAL DE MARCAS;INDICADOR DE REEMPLAZO ELECTIVO; HISTERESIS UNICAMERAL; POLARIDAD PROGRAMABLE(B/U, EST/SENTIR); PRUEBA AUTOMATICA DE UMBRALES DE ESTIMULACION (AMP Y ANCHO DEPULSO); SENSIBILIDAD Y ACTIVIDAD; CURVA DE DURACION E INTENSIDAD; ESTIMULACIONUNIPOLAR DE APOYO (SOLO BIPS); ESTIMULACION AURICULAR NO COMPETITIVA;INTERVENCION EN TAQUICARDIAS MEDIATIZADAS POR EL MARCAPASO; CAMBIO DE MODOAUTOMATICO EN LA ESTIMULACION. REFACCIONES: NO REQUIERE. ACCESORIOS OPCIONALES:NO REQUIERE. CONSUMIBLES: NO REQUIERE. INSTALACION: NO REQUIERE. OPERACION: PORPERSONAL ESPECIALIZADO Y DE ACUERDO AL MANUAL DE OPERACION. MANTENIMIENTO:PREVENTIVO. CORRECTIVO POR PERSONAL CALIFICADO.</v>
          </cell>
          <cell r="U2706">
            <v>80</v>
          </cell>
          <cell r="V2706">
            <v>196</v>
          </cell>
        </row>
        <row r="2707">
          <cell r="A2707">
            <v>2704</v>
          </cell>
          <cell r="B2707" t="str">
            <v>060.604.0459</v>
          </cell>
          <cell r="E2707" t="str">
            <v>Marcapaso cardíaco multiprogramable definitivo de doble cámara. Marcapaso cardiaco multiprogramable definitivo bipolar en línea de doble cámara; Conector IS-1/3.2 mm; Funciones programables 18 o más; Telemetría en tiempo real; Programas temporales; Modo de estimulación convencional (sin sensor) DDD, DDI, DVI, DOO, VDD, VVT, OAO, VVI, AAI, VOO, AOO, AT, ODO, OVO; Peso 30 g o menos; Grosor 8.0 mm o menos; Fuente de alimentación Yodo-Litio; Voltaje de batería 3.0 volts o menos; Intervalo AV adaptable linealmente a la frecuencia; Intervalo en taquicardias mediatizadas por el marcapaso; Histéresis unicameral; Funciones de diagnóstico: Contadores de eventos; Registro de extrasístoles; Monitor y tendencia del electrodo; Estimado de longevidad autoactualizable; Electrograma A o V con canal de marcas; Indicador de reemplazo; Polaridad programable (Bip-Unip); Prueba automática de umbrales de estimulación (AMP y ancho del pulso) sensibilidad y actividad; Curva de duración e intensidad; Estimulación unipolar de apoyo (solo Bip's); Estimulación ventricular de seguridad.</v>
          </cell>
          <cell r="U2707">
            <v>185</v>
          </cell>
          <cell r="V2707">
            <v>461</v>
          </cell>
        </row>
        <row r="2708">
          <cell r="A2708">
            <v>2705</v>
          </cell>
          <cell r="B2708" t="str">
            <v>060.604.0491</v>
          </cell>
          <cell r="E2708" t="str">
            <v>MARCAPASO CARDIACO DEFINITIVO BIPOLAR UNICAMERAL SIN ACTIVIDAD DE FRECUENCIA.MARCAPASO CARDIACO, DEFINITIVO BIPOLAR EN LINEA, UNICAMERAL, SIN ACTIVIDAD DEFRECUENCIA. ESPECIFICACIONES: MULTIPROGRAMABLE: UN MINIMO DE 7 FUNCIONES;POLARIDAD: PROGRAMABLE DE ESTIMULACION Y SENSIBILIDAD A BIPOLAR Y UNIPOLAR; MODODE ESTIMULACION: SSI (SIN SENSOR DE FRECUENCIA); AMPLITUD DE VOLTAJE:PROGRAMABLE; DIMENSIONES: PESO MENOR DE 35 G Y MENOS DE 11 MM DE ESPESOR;LONGEVIDAD: 7 ANOS EN ADELANTE A PARAMETROS NOMINALES; FUENTE DE ENERGIA:YODO-LITIO; ELECTRODOS: UNO ENDOCARDICO, BIPOLAR EN LINEA, CUBIERTO CON SILICON;FIJACION ACTIVA PARA LA AURICULA O FIJACION PASIVA PARA EL VENTRICULO. CONECTORIS-1, LONGITUD 60 CM O MENOS; INTRODUCTOR DE CABLE ELECTRODO: UNO PARA VENASUBCLAVIA, CON TECNICA DE "PEEL OFF". REFACCIONES: NO REQUIERE. ACCESORIOSOPCIONALES: NO REQUIERE. CONSUMIBLES: NO REQUIERE. INSTALACION: NO REQUIERE.OPERACION: POR PERSONAL ESPECIALIZADO Y DE ACUERDO AL MANUAL DE OPERACION.MANTENIMIENTO: PREVENTIVO. CORRECTIVO POR PERSONAL CALIFICADO.</v>
          </cell>
          <cell r="U2708">
            <v>130</v>
          </cell>
          <cell r="V2708">
            <v>322</v>
          </cell>
        </row>
        <row r="2709">
          <cell r="A2709">
            <v>2706</v>
          </cell>
          <cell r="B2709" t="str">
            <v>060.604.0558</v>
          </cell>
          <cell r="E2709" t="str">
            <v>Estimulador tricameral para resincronización biventricular. Dispositivo electrónico implantable para proporcionar terapia eléctrica de resincronización ventricular en pacientes con insuficiencia cardiaca. Consta de los siguientes elementos: generador de micropulsos eléctricos alimentado por batería; con control programable de: voltaje ancho de pulso configuración de estimulación ventricular retardo modos de estimulación salida sensibilidad polaridad y periodos refractario/cegamiento; herramienta dinamométrica sensor de frecuencia cardiaca; tres terminales independientes con cables aislados implantables por vía intravenosa para conectarse en: atrio derecho ventrículo derecho y ventrículo izquierdo. Dispositivo programable con propiedades de marcapaso y estimulador biventricular. Las especificaciones de cada uno de los elementos señalados serán seleccionados por las unidades de acuerdo a sus necesidades.</v>
          </cell>
          <cell r="U2709">
            <v>326</v>
          </cell>
          <cell r="V2709">
            <v>812</v>
          </cell>
        </row>
        <row r="2710">
          <cell r="A2710">
            <v>2707</v>
          </cell>
          <cell r="B2710" t="str">
            <v>060.607.0068</v>
          </cell>
          <cell r="E2710" t="str">
            <v>ACCESORIOS PARA MARCAPASOS. ELECTRODO PARA MARCAPASO DEFINITIVO BIPOLAR ENDOCÁRDICO DE 3.2 MM DE DIÁMETRO. PIEZA.</v>
          </cell>
          <cell r="U2710">
            <v>6609</v>
          </cell>
          <cell r="V2710">
            <v>16519</v>
          </cell>
        </row>
        <row r="2711">
          <cell r="A2711">
            <v>2708</v>
          </cell>
          <cell r="B2711" t="str">
            <v>060.607.0076</v>
          </cell>
          <cell r="E2711" t="str">
            <v>Accesorios para marcapasos. Electrodo para marcapaso temporal bipolar endocárdico 5 Fr Pieza.</v>
          </cell>
          <cell r="U2711">
            <v>9357</v>
          </cell>
          <cell r="V2711">
            <v>23390</v>
          </cell>
        </row>
        <row r="2712">
          <cell r="A2712">
            <v>2709</v>
          </cell>
          <cell r="B2712" t="str">
            <v>060.607.0100</v>
          </cell>
          <cell r="E2712" t="str">
            <v>ACCESORIOS PARA MARCAPASOS. ELECTRODO PARA MARCAPASO DEFINITIVO UNIPOLARENDOCARDICO DE 3.2 MM DE DIAMETRO. PIEZA.</v>
          </cell>
          <cell r="U2712">
            <v>334</v>
          </cell>
          <cell r="V2712">
            <v>833</v>
          </cell>
        </row>
        <row r="2713">
          <cell r="A2713">
            <v>2710</v>
          </cell>
          <cell r="B2713" t="str">
            <v>060.607.0159</v>
          </cell>
          <cell r="E2713" t="str">
            <v>ACCESORIOS PARA MARCAPASOS. ELECTRODO PARA MARCAPASO DE FINITIVO UNIPOLAREPICARDICO SIN SUTURA DE 3.2 MM DEDIA-METRO. PIEZA.</v>
          </cell>
          <cell r="U2713">
            <v>340</v>
          </cell>
          <cell r="V2713">
            <v>848</v>
          </cell>
        </row>
        <row r="2714">
          <cell r="A2714">
            <v>2711</v>
          </cell>
          <cell r="B2714" t="str">
            <v>060.607.0407</v>
          </cell>
          <cell r="E2714" t="str">
            <v>ACCESORIOS PARA MARCAPASOS. ELECTRODO PARA MARCAPASO DEFINITIVO BIPOLARENDOCARDICO, AURICULAR, EN "J" DE 3.2 MM DE DIAMETRO. PIEZA.</v>
          </cell>
          <cell r="U2714">
            <v>3481</v>
          </cell>
          <cell r="V2714">
            <v>8701</v>
          </cell>
        </row>
        <row r="2715">
          <cell r="A2715">
            <v>2712</v>
          </cell>
          <cell r="B2715" t="str">
            <v>060.607.0456</v>
          </cell>
          <cell r="E2715" t="str">
            <v>ACCESORIOS PARA MARCAPASOS. ELECTRODO PARA CONECTOR DE MARCAPASO IS-1/3.2 MMAISLAMIENTO DE POLIURETANO O SILICON VENTRICULAR/AURICULAR SI DIAMETRO DELCUERPO 7 A 7.2 FR O MENOS LONGITUD 45 A 58 CM ESPACIO INTERELECTRODO 12.5 MM OMAS. SISTEMA DE FIJACION ACTIVA DE TORNILLO SI PIEZA.</v>
          </cell>
          <cell r="U2715">
            <v>354</v>
          </cell>
          <cell r="V2715">
            <v>883</v>
          </cell>
        </row>
        <row r="2716">
          <cell r="A2716">
            <v>2713</v>
          </cell>
          <cell r="B2716" t="str">
            <v>060.619.0015</v>
          </cell>
          <cell r="E2716" t="str">
            <v>SUSTITUTO DE HUESO. MATRIZ OSEA DESMINERALIZADA EN PASTA PARA APLICACION CON OSIN JERINGA, 10 ML. PIEZA.</v>
          </cell>
          <cell r="U2716">
            <v>1467</v>
          </cell>
          <cell r="V2716">
            <v>3664</v>
          </cell>
        </row>
        <row r="2717">
          <cell r="A2717">
            <v>2714</v>
          </cell>
          <cell r="B2717" t="str">
            <v>060.619.0023</v>
          </cell>
          <cell r="E2717" t="str">
            <v>SUSTITUTO DE HUESO. MATRIZ OSEA DESMINERALIZADA EN PASTA PARA APLICACION CON OSIN JERINGA, 15 ML O MEDIDAS EQUIVALENTES. PIEZA.</v>
          </cell>
          <cell r="U2717">
            <v>858</v>
          </cell>
          <cell r="V2717">
            <v>2143</v>
          </cell>
        </row>
        <row r="2718">
          <cell r="A2718">
            <v>2715</v>
          </cell>
          <cell r="B2718" t="str">
            <v>060.621.0482</v>
          </cell>
          <cell r="E2718" t="str">
            <v>Mascarillas. Desechable para administración de oxígeno con tubo de conexión de 180 cm y adaptador. Pieza.</v>
          </cell>
          <cell r="U2718">
            <v>1070077</v>
          </cell>
          <cell r="V2718">
            <v>2675190</v>
          </cell>
        </row>
        <row r="2719">
          <cell r="A2719">
            <v>2716</v>
          </cell>
          <cell r="B2719" t="str">
            <v>060.621.0656</v>
          </cell>
          <cell r="E2719" t="str">
            <v>CUBREBOCAS QUIRURGICO. CUBREBOCA QUIRURGICO ELABORADO CON DOS CAPAS EXTERNAS DETELA NO TEJIDA UN FILTRO INTERMEDIO DE POLIPROPILENO; PLANO O PLISADO; CONAJUSTE NASAL MOLDEABLE. RESISTENTE A FLUIDOS ANTIESTATICO HIPOALERGENICO. CONBANDAS O AJUSTE ELASTICO ENTORCHADO A LA CABEZA O RETROAURICULAR. DESECHABLE.PIEZA.</v>
          </cell>
          <cell r="U2719">
            <v>36930236</v>
          </cell>
          <cell r="V2719">
            <v>92325588</v>
          </cell>
        </row>
        <row r="2720">
          <cell r="A2720">
            <v>2717</v>
          </cell>
          <cell r="B2720" t="str">
            <v>060.621.0664</v>
          </cell>
          <cell r="E2720" t="str">
            <v>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v>
          </cell>
          <cell r="U2720">
            <v>3696632</v>
          </cell>
          <cell r="V2720">
            <v>9241579</v>
          </cell>
        </row>
        <row r="2721">
          <cell r="A2721">
            <v>2718</v>
          </cell>
          <cell r="B2721" t="str">
            <v>060.621.0698</v>
          </cell>
          <cell r="E2721" t="str">
            <v>CUBREBOCAS QUIRURGICO. CUBREBOCA QUIRURGICO ELABORADO CON TRES CAPAS EXTERNAS DETELA NO TEJIDA, UN FILTRO INTERMEDIO DE POLIPROPILENO; PLANO O PLISADO; CONAJUSTE NASAL MOLDEABLE. RESISTENTE A FLUIDOS, ANTIESTATICO, HIPOALERGENICO. CONBANDAS O AJUSTE ELASTICO ENTORCHADO A LA CABEZA O RETROAURICULAR. DESECHABLE.</v>
          </cell>
          <cell r="U2721">
            <v>609980</v>
          </cell>
          <cell r="V2721">
            <v>1524948</v>
          </cell>
        </row>
        <row r="2722">
          <cell r="A2722">
            <v>2719</v>
          </cell>
          <cell r="B2722" t="str">
            <v>060.622.0010</v>
          </cell>
          <cell r="E2722" t="str">
            <v>Material para Impresión y Accesorios. Alginato para impresiones dentales. Envase con 450 g.</v>
          </cell>
          <cell r="U2722">
            <v>236510</v>
          </cell>
          <cell r="V2722">
            <v>591274</v>
          </cell>
        </row>
        <row r="2723">
          <cell r="A2723">
            <v>2720</v>
          </cell>
          <cell r="B2723" t="str">
            <v>060.622.0028</v>
          </cell>
          <cell r="E2723" t="str">
            <v>MATERIAL PARA IMPRESIÓN Y ACCESORIOS. YESO PIEDRA BLANCO PARA ORTODONCIA. ENVASE CON 1 K.</v>
          </cell>
          <cell r="U2723">
            <v>971</v>
          </cell>
          <cell r="V2723">
            <v>2425</v>
          </cell>
        </row>
        <row r="2724">
          <cell r="A2724">
            <v>2721</v>
          </cell>
          <cell r="B2724" t="str">
            <v>060.622.0044</v>
          </cell>
          <cell r="E2724" t="str">
            <v>MATERIAL PARA IMPRESION Y ACCESORIOS. RESINA ACRILICA AUTOPOLIMERIZABLE ROSAPOLVO. ENVASE CON 1 K.</v>
          </cell>
          <cell r="U2724">
            <v>38557</v>
          </cell>
          <cell r="V2724">
            <v>96390</v>
          </cell>
        </row>
        <row r="2725">
          <cell r="A2725">
            <v>2722</v>
          </cell>
          <cell r="B2725" t="str">
            <v>060.622.0051</v>
          </cell>
          <cell r="E2725" t="str">
            <v>MATERIAL PARA IMPRESION Y ACCESORIOS. RESINA ACRILICA AUTOPOLIMERIZABLE LIQUIDA.ENVASE DE 1 LT.</v>
          </cell>
          <cell r="U2725">
            <v>3462</v>
          </cell>
          <cell r="V2725">
            <v>8652</v>
          </cell>
        </row>
        <row r="2726">
          <cell r="A2726">
            <v>2723</v>
          </cell>
          <cell r="B2726" t="str">
            <v>060.622.0143</v>
          </cell>
          <cell r="E2726" t="str">
            <v>FORMOCRESOL. PARA MOMIFICACION Y DESVITALIZACION DE LA PULPA DENTARIA. DEBUCKLEY. ENVASE CON 30 ML.</v>
          </cell>
          <cell r="U2726">
            <v>36768</v>
          </cell>
          <cell r="V2726">
            <v>91919</v>
          </cell>
        </row>
        <row r="2727">
          <cell r="A2727">
            <v>2724</v>
          </cell>
          <cell r="B2727" t="str">
            <v>060.623.0852</v>
          </cell>
          <cell r="E2727" t="str">
            <v>Espaciadores. De volumen de plástico de forma ovoide con aberturas en ambos extremos y que se ajuste a la entrada de los diferentes medicamentos en suspensión o aerosol para la terapéutica broncodilatadora. Con capacidad interior de 300 ml ± 10 ml y longitud de 19 cm ± 1 cm. Pieza.</v>
          </cell>
          <cell r="U2727">
            <v>6506</v>
          </cell>
          <cell r="V2727">
            <v>16264</v>
          </cell>
        </row>
        <row r="2728">
          <cell r="A2728">
            <v>2725</v>
          </cell>
          <cell r="B2728" t="str">
            <v>060.623.0860</v>
          </cell>
          <cell r="E2728" t="str">
            <v>Espaciadores de volumen. De plástico rígido resistente que se adapte a los diferentes medicamentos broncodilatadores en aerosol. Puede tener o no ensamblada una mascarilla o una boquilla. Vida útil: tres meses. Neonatal. Pieza.</v>
          </cell>
          <cell r="U2728">
            <v>8428</v>
          </cell>
          <cell r="V2728">
            <v>21066</v>
          </cell>
        </row>
        <row r="2729">
          <cell r="A2729">
            <v>2726</v>
          </cell>
          <cell r="B2729" t="str">
            <v>060.623.0878</v>
          </cell>
          <cell r="E2729" t="str">
            <v>Espaciadores de volumen. De  plástico  rígido  resistente  que  se  adapte  a  los diferentes medicamentos broncodilatadores en aerosol. Puede  tener  o  no  ensamblada  una  mascarilla  o  una boquilla. Vida útil: tres meses. Pediátrico. Pieza.</v>
          </cell>
          <cell r="U2729">
            <v>8568</v>
          </cell>
          <cell r="V2729">
            <v>21418</v>
          </cell>
        </row>
        <row r="2730">
          <cell r="A2730">
            <v>2727</v>
          </cell>
          <cell r="B2730" t="str">
            <v>060.623.0886</v>
          </cell>
          <cell r="E2730" t="str">
            <v>Espaciadores de volumen. De  plástico  rígido  resistente  que  se  adapte  a  los diferentes medicamentos broncodilatadores en aerosol. Puede  tener  o  no  ensamblada  una  mascarilla  o  una boquilla. Vida útil: tres meses. Adulto. Pieza.</v>
          </cell>
          <cell r="U2730">
            <v>73025</v>
          </cell>
          <cell r="V2730">
            <v>182559</v>
          </cell>
        </row>
        <row r="2731">
          <cell r="A2731">
            <v>2728</v>
          </cell>
          <cell r="B2731" t="str">
            <v>060.624.0158</v>
          </cell>
          <cell r="E2731" t="str">
            <v>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v>
          </cell>
          <cell r="U2731">
            <v>35755</v>
          </cell>
          <cell r="V2731">
            <v>89386</v>
          </cell>
        </row>
        <row r="2732">
          <cell r="A2732">
            <v>2729</v>
          </cell>
          <cell r="B2732" t="str">
            <v>060.626.0016</v>
          </cell>
          <cell r="E2732" t="str">
            <v>Medias antiembólicas elásticas de compresión mediana para miembros inferiores hasta el muslo. Tallas: Chica corta. Envase con un par.</v>
          </cell>
          <cell r="U2732">
            <v>52271</v>
          </cell>
          <cell r="V2732">
            <v>130677</v>
          </cell>
        </row>
        <row r="2733">
          <cell r="A2733">
            <v>2730</v>
          </cell>
          <cell r="B2733" t="str">
            <v>060.626.0024</v>
          </cell>
          <cell r="E2733" t="str">
            <v>Medias antiembólicas elásticas de compresión mediana para miembros inferiores hasta el muslo. Tallas: Chica larga. Envase con un par.</v>
          </cell>
          <cell r="U2733">
            <v>50059</v>
          </cell>
          <cell r="V2733">
            <v>125146</v>
          </cell>
        </row>
        <row r="2734">
          <cell r="A2734">
            <v>2731</v>
          </cell>
          <cell r="B2734" t="str">
            <v>060.626.0032</v>
          </cell>
          <cell r="E2734" t="str">
            <v>Medias antiembólicas elásticas de compresión mediana para miembros inferiores hasta el muslo. Tallas: Mediana corta. Envase con un par.</v>
          </cell>
          <cell r="U2734">
            <v>65283</v>
          </cell>
          <cell r="V2734">
            <v>163207</v>
          </cell>
        </row>
        <row r="2735">
          <cell r="A2735">
            <v>2732</v>
          </cell>
          <cell r="B2735" t="str">
            <v>060.626.0040</v>
          </cell>
          <cell r="E2735" t="str">
            <v>Medias antiembólicas elásticas de compresión mediana para miembros inferiores hasta el muslo. Tallas: Mediana larga. Envase con un par.</v>
          </cell>
          <cell r="U2735">
            <v>173814</v>
          </cell>
          <cell r="V2735">
            <v>434531</v>
          </cell>
        </row>
        <row r="2736">
          <cell r="A2736">
            <v>2733</v>
          </cell>
          <cell r="B2736" t="str">
            <v>060.626.0057</v>
          </cell>
          <cell r="E2736" t="str">
            <v>Medias antiembólicas elásticas de compresión mediana para miembros inferiores hasta el muslo. Tallas: Grande corta. Envase con un par.</v>
          </cell>
          <cell r="U2736">
            <v>67319</v>
          </cell>
          <cell r="V2736">
            <v>168294</v>
          </cell>
        </row>
        <row r="2737">
          <cell r="A2737">
            <v>2734</v>
          </cell>
          <cell r="B2737" t="str">
            <v>060.626.0065</v>
          </cell>
          <cell r="E2737" t="str">
            <v>Medias antiembólicas elásticas de compresión mediana para miembros inferiores hasta el muslo. Tallas: Grande larga. Envase con un par.</v>
          </cell>
          <cell r="U2737">
            <v>177895</v>
          </cell>
          <cell r="V2737">
            <v>444737</v>
          </cell>
        </row>
        <row r="2738">
          <cell r="A2738">
            <v>2735</v>
          </cell>
          <cell r="B2738" t="str">
            <v>060.626.0073</v>
          </cell>
          <cell r="E2738" t="str">
            <v>Medias antiembólicas elásticas de compresión mediana para miembros inferiores. Hasta la rodilla. Tallas: Chica. Envase con un par.</v>
          </cell>
          <cell r="U2738">
            <v>34848</v>
          </cell>
          <cell r="V2738">
            <v>87116</v>
          </cell>
        </row>
        <row r="2739">
          <cell r="A2739">
            <v>2736</v>
          </cell>
          <cell r="B2739" t="str">
            <v>060.626.0081</v>
          </cell>
          <cell r="E2739" t="str">
            <v>Medias antiembólicas elásticas de compresión mediana para miembros inferiores. Hasta la rodilla. Tallas: Mediana. Envase con un par.</v>
          </cell>
          <cell r="U2739">
            <v>51688</v>
          </cell>
          <cell r="V2739">
            <v>129219</v>
          </cell>
        </row>
        <row r="2740">
          <cell r="A2740">
            <v>2737</v>
          </cell>
          <cell r="B2740" t="str">
            <v>060.626.0099</v>
          </cell>
          <cell r="E2740" t="str">
            <v>Medias antiembólicas elásticas de compresión mediana para miembros inferiores. Hasta la rodilla. Tallas: Grande. Envase con un par.</v>
          </cell>
          <cell r="U2740">
            <v>55081</v>
          </cell>
          <cell r="V2740">
            <v>137701</v>
          </cell>
        </row>
        <row r="2741">
          <cell r="A2741">
            <v>2738</v>
          </cell>
          <cell r="B2741" t="str">
            <v>060.626.0107</v>
          </cell>
          <cell r="E2741" t="str">
            <v>PRENDAS DE COMPRESIÓN. MANGAS DE COMPRESIÓN (20 - 30 MMHG: 80% NYLON Y 20% SPANDEX), PARA EL BRAZO, COLOR BEIGE, TALLAS: CHICA (MUÑECA: 13.5 - 19.5 CM, MEDIOBAJO: 17.8 23.2 CM, MEDIO-ALTO: 21.5 - 39.5 CM, LONGITUD: 43 CM). ENVASE CON 1 PIEZA.</v>
          </cell>
          <cell r="U2741">
            <v>84</v>
          </cell>
          <cell r="V2741">
            <v>210</v>
          </cell>
        </row>
        <row r="2742">
          <cell r="A2742">
            <v>2739</v>
          </cell>
          <cell r="B2742" t="str">
            <v>060.626.0115</v>
          </cell>
          <cell r="E2742" t="str">
            <v>PRENDAS DE COMPRESIÓN. MANGAS DE COMPRESIÓN (20 - 30 MMHG: 80% NYLON Y 20% SPANDEX), PARA EL BRAZO, COLOR BEIGE, TALLAS: MEDIANA (MUÑECA: 15.5 - 21.5 CM, MEDIO-BAJO: 23.3 - 28.7 CM, MEDIO-ALTO: 27.0 - 45.0 CM, LONGITUD: 43 CM). ENVASE CON 1 PIEZA.</v>
          </cell>
          <cell r="U2742">
            <v>84</v>
          </cell>
          <cell r="V2742">
            <v>210</v>
          </cell>
        </row>
        <row r="2743">
          <cell r="A2743">
            <v>2740</v>
          </cell>
          <cell r="B2743" t="str">
            <v>060.626.0123</v>
          </cell>
          <cell r="E2743" t="str">
            <v>PRENDAS DE COMPRESIÓN. MANGAS DE COMPRESIÓN (20 - 30 MMHG: 80% NYLON Y 20% SPANDEX), PARA EL BRAZO, COLOR BEIGE, TALLAS: GRANDE (MUÑECA: 17.5 - 23.5 CM, MEDIO - BAJO: 28.8 - 34.3 CM, MEDIO-ALTO: 32.5 - 50.5 CM, LONGITUD: 43 CM). ENVASE CON 1 PIEZA.</v>
          </cell>
          <cell r="U2743">
            <v>84</v>
          </cell>
          <cell r="V2743">
            <v>210</v>
          </cell>
        </row>
        <row r="2744">
          <cell r="A2744">
            <v>2741</v>
          </cell>
          <cell r="B2744" t="str">
            <v>060.626.0131</v>
          </cell>
          <cell r="E2744" t="str">
            <v>PRENDAS DE COMPRESIÓN. MANGAS DE COMPRESIÓN (15 - 20 MMHG: 84% NYLON Y 16% SPANDEX), PARA EL BRAZO, COLOR BEIGE, TALLAS: CHICA (MUÑECA: 13.5 - 19.5 CM, MEDIOBAJO: 17.8 - 23.2 CM, MEDIO-ALTO: 21.5-39.5 CM, LONGITUD: 43 CM). ENVASE CON 1 PIEZA.</v>
          </cell>
          <cell r="U2744">
            <v>84</v>
          </cell>
          <cell r="V2744">
            <v>210</v>
          </cell>
        </row>
        <row r="2745">
          <cell r="A2745">
            <v>2742</v>
          </cell>
          <cell r="B2745" t="str">
            <v>060.626.0149</v>
          </cell>
          <cell r="E2745" t="str">
            <v>PRENDAS DE COMPRESIÓN. MANGAS DE COMPRESIÓN (15 - 20 MMHG: 84% NYLON Y 16% SPANDEX), PARA EL BRAZO, COLOR BEIGE, TALLAS: MEDIANA (MUÑECA: 15.5 - 21.5 CM, MEDIO-BAJO: 23.3 - 28.7 CM, MEDIO-ALTO: 27.0 - 45.0 CM, LONGITUD: 43 CM).. ENVASE CON 1 PIEZA.</v>
          </cell>
          <cell r="U2745">
            <v>84</v>
          </cell>
          <cell r="V2745">
            <v>210</v>
          </cell>
        </row>
        <row r="2746">
          <cell r="A2746">
            <v>2743</v>
          </cell>
          <cell r="B2746" t="str">
            <v>060.626.0156</v>
          </cell>
          <cell r="E2746" t="str">
            <v>PRENDAS DE COMPRESIÓN. MANGAS DE COMPRESIÓN (15 - 20 MMHG: 84% NYLON Y 16% SPANDEX), PARA EL BRAZO, COLOR BEIGE, TALLAS: GRANDE (MUÑECA: 17.5 - 23.5 CM, MEDIO-BAJO: 28.8 - 34.3 CM, MEDIO-ALTO: 32.5 - 50.5 CM, LONGITUD: 43 CM).. ENVASE CON 1 PIEZA.</v>
          </cell>
          <cell r="U2746">
            <v>84</v>
          </cell>
          <cell r="V2746">
            <v>210</v>
          </cell>
        </row>
        <row r="2747">
          <cell r="A2747">
            <v>2744</v>
          </cell>
          <cell r="B2747" t="str">
            <v>060.626.0164</v>
          </cell>
          <cell r="E2747" t="str">
            <v>PRENDAS DE COMPRESIÓN. MANGAS DE COMPRESIÓN CON BANDA DE SILICÓN PUNTEADA (20 - 30 MMHG: 75% NYLON, 22% SPANDEX Y 3% SILICÓN), PARA EL BRAZO, COLOR BEIGE, TALLAS: CHICA (MUÑECA: 13.5 - 19.5 CM, MEDIOBAJO: 17.8 - 23.2 CM, MEDIO-ALTO: 21.5 - 39.5 CM, LONGITUD: 43 CM). ENVASE CON 1 PIEZA.</v>
          </cell>
          <cell r="U2747">
            <v>84</v>
          </cell>
          <cell r="V2747">
            <v>210</v>
          </cell>
        </row>
        <row r="2748">
          <cell r="A2748">
            <v>2745</v>
          </cell>
          <cell r="B2748" t="str">
            <v>060.626.0172</v>
          </cell>
          <cell r="E2748" t="str">
            <v>PRENDAS DE COMPRESIÓN. MANGAS DE COMPRESIÓN CON BANDA DE SILICÓN PUNTEADA (20 - 30 MMHG: 75% NYLON, 22% SPANDEX Y 3% SILICÓN), PARA EL BRAZO, COLOR BEIGE, TALLAS: MEDIANA (MUÑECA: 15.5 - 21.5 CM, MEDIO-BAJO: 23.3 - 28.7 CM, MEDIO-ALTO: 27.0 - 45.0 CM, LONGITUD: 43 CM). ENVASE CON 1 PIEZA.</v>
          </cell>
          <cell r="U2748">
            <v>84</v>
          </cell>
          <cell r="V2748">
            <v>210</v>
          </cell>
        </row>
        <row r="2749">
          <cell r="A2749">
            <v>2746</v>
          </cell>
          <cell r="B2749" t="str">
            <v>060.626.0180</v>
          </cell>
          <cell r="E2749" t="str">
            <v>PRENDAS DE COMPRESIÓN. MANGAS DE COMPRESIÓN CON BANDA DE SILICÓN PUNTEADA (20 - 30 MMHG: 75% NYLON, 22% SPANDEX Y 3% SILICÓN), PARA EL BRAZO, COLOR BEIGE, TALLAS: GRANDE (MUÑECA: 17.5 - 23.5 CM, MEDIO-BAJO: 28.8 - 34.3 CM, MEDIO-ALTO: 32.5 - 50.5 CM, LONGITUD: 43 CM). ENVASE CON 1 PIEZA.</v>
          </cell>
          <cell r="U2749">
            <v>84</v>
          </cell>
          <cell r="V2749">
            <v>210</v>
          </cell>
        </row>
        <row r="2750">
          <cell r="A2750">
            <v>2747</v>
          </cell>
          <cell r="B2750" t="str">
            <v>060.626.0198</v>
          </cell>
          <cell r="E2750" t="str">
            <v>PRENDAS DE COMPRESIÓN. GUANTELETE DE COMPRESIÓN (20 - 30 MMHG: 86% NYLON Y 14% SPANDEX), PARA LA MANO, COLOR BEIGE, TALLAS: CHICA (PALMA 15 - 19 CM, MUÑECA: 14 - 20 CM). ENVASE CON 1 PIEZA.</v>
          </cell>
          <cell r="U2750">
            <v>84</v>
          </cell>
          <cell r="V2750">
            <v>210</v>
          </cell>
        </row>
        <row r="2751">
          <cell r="A2751">
            <v>2748</v>
          </cell>
          <cell r="B2751" t="str">
            <v>060.626.0206</v>
          </cell>
          <cell r="E2751" t="str">
            <v>PRENDAS DE COMPRESIÓN. GUANTELETE DE COMPRESIÓN (20 - 30 MMHG: 86% NYLON Y 14% SPANDEX), PARA LA MANO, COLOR BEIGE, TALLAS: MEDIANA (PALMA 19 - 22 CM, MUÑECA: 16 - 22 CM). ENVASE CON 1 PIEZA.</v>
          </cell>
          <cell r="U2751">
            <v>84</v>
          </cell>
          <cell r="V2751">
            <v>210</v>
          </cell>
        </row>
        <row r="2752">
          <cell r="A2752">
            <v>2749</v>
          </cell>
          <cell r="B2752" t="str">
            <v>060.626.0214</v>
          </cell>
          <cell r="E2752" t="str">
            <v>PRENDAS DE COMPRESIÓN. GUANTELETE DE COMPRESIÓN (20 - 30 MMHG: 86% NYLON Y 14% SPANDEX), PARA LA MANO, COLOR BEIGE, TALLAS: GRANDE (PALMA 21 - 26 CM, MUÑECA: 18 - 24 CM). ENVASE CON 1 PIEZA.</v>
          </cell>
          <cell r="U2752">
            <v>84</v>
          </cell>
          <cell r="V2752">
            <v>210</v>
          </cell>
        </row>
        <row r="2753">
          <cell r="A2753">
            <v>2750</v>
          </cell>
          <cell r="B2753" t="str">
            <v>060.626.0222</v>
          </cell>
          <cell r="E2753" t="str">
            <v>MEDIAS ANTIEMBOLICAS. MEDIAS ANTIEMBOLICAS ELASTICAS DE COMPRESION MEDIANA Y/OCOMPRESION GRADUADA, PARA MIEMBROS INFERIORES, HASTA EL MUSLO. TALLAS: EXTRAGRANDE CORTA. ENVASE CON UN PAR.</v>
          </cell>
          <cell r="U2753">
            <v>11315</v>
          </cell>
          <cell r="V2753">
            <v>28285</v>
          </cell>
        </row>
        <row r="2754">
          <cell r="A2754">
            <v>2751</v>
          </cell>
          <cell r="B2754" t="str">
            <v>060.626.0230</v>
          </cell>
          <cell r="E2754" t="str">
            <v>MEDIAS ANTIEMBOLICAS. MEDIAS ANTIEMBOLICAS ELASTICAS DE COMPRESION MEDIANA Y/OCOMPRESION GRADUADA, PARA MIEMBROS INFERIORES, HASTA EL MUSLO. TALLAS: EXTRAGRANDE LARGA. ENVASE CON UN PAR.</v>
          </cell>
          <cell r="U2754">
            <v>8580</v>
          </cell>
          <cell r="V2754">
            <v>21449</v>
          </cell>
        </row>
        <row r="2755">
          <cell r="A2755">
            <v>2752</v>
          </cell>
          <cell r="B2755" t="str">
            <v>060.665.0398</v>
          </cell>
          <cell r="E2755" t="str">
            <v>OCLUSOR CARDIACO. NITINOL ELECTROPULIDO Y AUTO-EXPANDIBLE DISPONIBLE EN CINCO TAMAÑOS: 21 24 27 30 Y 33 MM. TEREFTALATO DE POLIETILENO (PET) PERMEABLE (200µM); (ELASTÓMERO TERMOPLÁSTICO (TPE-A) O POLIAMIDA FLEXIBLE SIN PLASTIFICANTE) REFORZADO EN TUBO CON DIÁMETRO EXTERIOR DE 12 Y 14 FR. ALAMBRE TRENZADO REFORZADO EN TUBO. EL OCLUSOR CARDÍACO CONSTA DE LOS SIGUIENTES COMPONENTES: OCLUSOR CARDIACO SISTEMA DE SUMINISTRO SISTEMA DE ACCESO Y OBTURADOR. EL OCLUSOR CARDÍACO SE ENCUENTRA PRECARGADO EN EL SISTEMA DE SUMINISTRO EL DISPOSITIVO DE CIERRE ES UN ARMAZÓN CON ESTRUCTURA EN FORMA DE PARAGUAS FABRICADO EN NITINOL ELECTROPULIDO ES AUTO EXPANDIBLE Y ESTÁ DISEÑADO PARA SER IMPLANTADO PERMANENTEMENTE EN LA OREJUELA AURICULAR IZQUIERDA. EL ARMAZÓN ES UNA CONSTRUCCIÓN DE DOS PIEZAS: LA PRIMERA MEMBRANA DE TEREFTALATO DE POLIETILENO (PET) PERMEABLE (200µM) QUE CIERRA Y CUBRE EN SU EXTREMO PROXIMAL DEL DISPOSITIVO Y LA FORMA CÓNICA DEL ARMAZÓN HACIA EL EXTREMO DISTAL. DONDE SE LOCALIZA UNA FILA DE CRESTAS DE FIJACIÓN DISEÑADAS SOBRE LA ESTRUCTURA DEL ARMAZÓN LAS CUALES ESTÁN COLOCADAS ALREDEDOR DEL PERÍMETRO DEL ARMAZÓN Y AYUDA A LA ESTABILIZACIÓN DEL DISPOSITIVO IN SITU. EL DISPOSITIVO SE ENCUENTRA DISPONIBLE EN CINCO TAMAÑOS (MEDIDO EN MM Y SU MÁXIMA DIMENSIÓN SIN COMPRIMIR) PARA ADAPTARSE AL DIÁMETRO DISTAL OSTIAL LOS TAMAÑOS DISPONIBLES SON: 21 24 27 30 Y 33MM. EL SISTEMA DE SUMINISTRO CONSTA DE UN CATÉTER DE SUMINISTRO CON DIÁMETRO EXTERIOR DE 12 FR CONSTRUIDO DE ALAMBRE TRENZADO REFORZADO EN TUBO CON ASA ENSAMBLADA EN EL EXTREMO PROXIMAL Y EL DISPOSITIVO DE CIERRE (IMPLANTE) PRECARGADO Y RESGUARDADO EN EL EXTREMO DISTAL DEL CATÉTER ESTE EXTREMO CUENTA CON UNA MARCA RADIOPACA PARA SU VISUALIZACIÓN. EL SISTEMA DE ACCESO SE COMPONE DE VAINA DE ACCESO CON DIÁMETRO EXTERIOR DE 14 FR Y UN DILATADOR DE 12 FR. EL EXTREMO DISTAL DEL SISTEMA DE ACCESO ESTÁ DISPONIBLE EN TRES ESTILOS DE CURVA PARA AYUDAR A LA COLOCACIÓN DE LA VAINA DE LA OREJUELA AURICULAR IZQUIERDA. EL EXTREMO PROXIMAL DEL SISTEMA DE ACCESO SE COMPONE DE UNA VÁLVULA HEMOSTÁTICA ESTILO BORST TOUHY CON UN ORIFICIO LATERAL ADJUNTO. LA PUNTA DISTAL CONTIENE UNA BANDA DE MARCADOR DE VISUALIZACIÓN IN SITU ASÍ COMO DE TAMAÑOS DE BANDA MARCADORAS USADAS PARA MEDIR SI EL SISTEMA DE ACCESO ESTÁ POSICIONADO EN EL SITIO ADECUADO DE LA REJUELA AURICULAR IZQUIERDA BASADO EN EL TAMAÑO DEL DISPOSITIVO SELECCIONADO. EL SISTEMA DE CIERRE DE LA OREJUELA AURICULAR SE SUMINISTRA ESTÉRIL MEDIANTE ÓXIDO DE ETILENO LIBRE DE PIRÓGENOS Y ESTÁ PREVISTO PARA UN SOLO USO.</v>
          </cell>
          <cell r="U2755">
            <v>12</v>
          </cell>
          <cell r="V2755">
            <v>27</v>
          </cell>
        </row>
        <row r="2756">
          <cell r="A2756">
            <v>2753</v>
          </cell>
          <cell r="B2756" t="str">
            <v>060.670.0029</v>
          </cell>
          <cell r="E2756" t="str">
            <v>OXIMETRO DE PULSO. PORTATIL, INTEGRADO EN UN DISPOSITIVO QUE SE COLOCA EN ELDEDO DE LA MANO O DEL PIE, PARA USO EN PACIENTES ADOLESCENTES O ADULTOS, ENAMBIENTE HOSPITALARIO Y DOMICILIARIO (AMBULATORIO). CUENTA CON UNA PANTALLA ENLA QUE MUESTRA LA FRECUENCIA CARDIACA Y EL NIVEL DE SATURACION DE OXIGENO,EXPRESADA COMO PORCENTAJE. SATURACION DE OXIGENO ARTERIAL (SPO2) CON UN RANGO DEMEDICION MINIMO DE 70%-99%, PRECISION DE +/- 2-3% EN LA ETAPA DE 70%-99%, SINESPECIFICAR (&lt;=70%) RESOLUCION:+/- 1%. FRECUENCIA DE PULSO; RANGO DE MEDICION DE30-240 BPM, PRECISION,+/- 2-3 BPM, RESOLUCION,+/- 1 BPM. EQUIPO DE EVALUACIONESPECTOFOTOMETRICA DE LA OXIGENACION DE LA HEMOGLOBINA(SPO2). MIDE LA LUZTRANSMITIDA A TRAVES DEL LECHO CAPILAR, QUE RESULTA DE LAS PULSACIONES DE LASANGRE ARTERIAL. MODO DE FUNCIONAMIENTO CONTINUO. APAGADO AUTOMATICO CUANDO ELDISPOSITIVO ESTA BAJO EL ESTADO DE LA INTERFAZ DE MEDICION OFF, EN SEGUNDOS.INDICADOR DE BATERIA BAJA, QUE SE ACCIONA ANTES QUE SE PIERDA EL FUNCIONAMIENTONORMAL DEL OXIMETRO. FUENTE DE ALIMENTACION: PILAS ALCALINAS. PESO MAXIMO 50 GR.ESTUCHE PARA GUARDAR OXIMETRO Y CORDON DE SUJECION. LA LIMPIEZA DE LA SUPERFICIEDEL DISPOSITIVO SE HACE CON ALCOHOL QUE EVITA LA CONTAMINACION CRUZADA Y DEBEHACERSE ANTES DE USUARSE ENTRE CADA PACIENTE. ALMACENAMIENTO; TEMPERATURAAMBIENTE DE -40 GRADOS CENTIGRADOS A 60 GRADOS CENTIGRADOS Y NO SUPERIOR AL 95%DE HUMEDAD RELATIVA.</v>
          </cell>
          <cell r="U2756">
            <v>1360</v>
          </cell>
          <cell r="V2756">
            <v>3397</v>
          </cell>
        </row>
        <row r="2757">
          <cell r="A2757">
            <v>2754</v>
          </cell>
          <cell r="B2757" t="str">
            <v>060.681.0034</v>
          </cell>
          <cell r="E2757" t="str">
            <v>Pañales. De forma anatómica desechables para niños. Medidas: Chico. Pieza.</v>
          </cell>
          <cell r="U2757">
            <v>5046208</v>
          </cell>
          <cell r="V2757">
            <v>12615518</v>
          </cell>
        </row>
        <row r="2758">
          <cell r="A2758">
            <v>2755</v>
          </cell>
          <cell r="B2758" t="str">
            <v>060.681.0042</v>
          </cell>
          <cell r="E2758" t="str">
            <v>Pañales. De forma anatómica desechables para niños. Medidas: Mediano. Pieza.</v>
          </cell>
          <cell r="U2758">
            <v>2578902</v>
          </cell>
          <cell r="V2758">
            <v>6447253</v>
          </cell>
        </row>
        <row r="2759">
          <cell r="A2759">
            <v>2756</v>
          </cell>
          <cell r="B2759" t="str">
            <v>060.681.0059</v>
          </cell>
          <cell r="E2759" t="str">
            <v>Pañales. De forma anatómica desechables para niños. Medidas: Grande. Pieza.</v>
          </cell>
          <cell r="U2759">
            <v>5493182</v>
          </cell>
          <cell r="V2759">
            <v>13732954</v>
          </cell>
        </row>
        <row r="2760">
          <cell r="A2760">
            <v>2757</v>
          </cell>
          <cell r="B2760" t="str">
            <v>060.681.0067</v>
          </cell>
          <cell r="E2760" t="str">
            <v>Pañales. Predoblados desechables. Para adultos. Pieza.</v>
          </cell>
          <cell r="U2760">
            <v>38873184</v>
          </cell>
          <cell r="V2760">
            <v>97182959</v>
          </cell>
        </row>
        <row r="2761">
          <cell r="A2761">
            <v>2758</v>
          </cell>
          <cell r="B2761" t="str">
            <v>060.685.0394</v>
          </cell>
          <cell r="E2761" t="str">
            <v>PAPEL ECG 16636  - 5 (216 MMX 60 M) TERMOSENSIBLE (ESPE-CIFICAR MARCA Y MODELODEL EQUIPO).</v>
          </cell>
          <cell r="U2761">
            <v>1328</v>
          </cell>
          <cell r="V2761">
            <v>3320</v>
          </cell>
        </row>
        <row r="2762">
          <cell r="A2762">
            <v>2759</v>
          </cell>
          <cell r="B2762" t="str">
            <v>060.685.0469</v>
          </cell>
          <cell r="E2762" t="str">
            <v>PAPEL PARA ELECTROCARDIOGRA-FO FETAL 43-03 A  (15.2 MM X14 CM) BLUSH PLEGABLE(ESPE-CIFICAR  MARCA Y  MODELO DELEQUIPO).</v>
          </cell>
          <cell r="U2762">
            <v>480</v>
          </cell>
          <cell r="V2762">
            <v>1197</v>
          </cell>
        </row>
        <row r="2763">
          <cell r="A2763">
            <v>2760</v>
          </cell>
          <cell r="B2763" t="str">
            <v>060.685.0477</v>
          </cell>
          <cell r="E2763" t="str">
            <v>PAPEL PARA CARDIOTOCOGRAFO -FETAL  PN 777 8108 012 TERMOSENSIBLE DE 150 FICHASPLEGABLE DE 120 X 100 MM (ESPECI-FICAR MARCA Y MODELO  DEL E-QUIPO).</v>
          </cell>
          <cell r="U2763">
            <v>360</v>
          </cell>
          <cell r="V2763">
            <v>898</v>
          </cell>
        </row>
        <row r="2764">
          <cell r="A2764">
            <v>2761</v>
          </cell>
          <cell r="B2764" t="str">
            <v>060.685.0493</v>
          </cell>
          <cell r="E2764" t="str">
            <v>PAPEL PARA CARDIOTOCOGRAFO -FETAL 929-098 (125 MM X 14M)BLUSH PLEGABLE (ESPECIFICARMARCA Y MODELO DEL EQUIPO).</v>
          </cell>
          <cell r="U2764">
            <v>703</v>
          </cell>
          <cell r="V2764">
            <v>1755</v>
          </cell>
        </row>
        <row r="2765">
          <cell r="A2765">
            <v>2762</v>
          </cell>
          <cell r="B2765" t="str">
            <v>060.685.0543</v>
          </cell>
          <cell r="E2765" t="str">
            <v>PAPEL PARA ELECTROCARDIOGRA-FO  ( 140 MM X 60 M ) ( ESPECIFICAR  MARCA YMODELODELEQUIPO).</v>
          </cell>
          <cell r="U2765">
            <v>632</v>
          </cell>
          <cell r="V2765">
            <v>1576</v>
          </cell>
        </row>
        <row r="2766">
          <cell r="A2766">
            <v>2763</v>
          </cell>
          <cell r="B2766" t="str">
            <v>060.685.0840</v>
          </cell>
          <cell r="E2766" t="str">
            <v>PAPEL PARA LA IMPRESION DE CICLOS DE ESTERILIZACION, PARA EL ESTERILIZADOR DEPEROXIDO DE HIDROGENO.</v>
          </cell>
          <cell r="U2766">
            <v>56</v>
          </cell>
          <cell r="V2766">
            <v>140</v>
          </cell>
        </row>
        <row r="2767">
          <cell r="A2767">
            <v>2764</v>
          </cell>
          <cell r="B2767" t="str">
            <v>060.685.0915</v>
          </cell>
          <cell r="E2767" t="str">
            <v>Papeles. Pliegos de papel grado médico (blanco o crepado) impresos con indicador(es) para esterilizar en gas o vapor. Ancho: 110 cm. Largo: 110 cm. Envase con 250 hojas cada uno.</v>
          </cell>
          <cell r="U2767">
            <v>1444</v>
          </cell>
          <cell r="V2767">
            <v>3606</v>
          </cell>
        </row>
        <row r="2768">
          <cell r="A2768">
            <v>2765</v>
          </cell>
          <cell r="B2768" t="str">
            <v>060.693.0014</v>
          </cell>
          <cell r="E2768" t="str">
            <v>PARAFINAS CON PUNTO DE FUSION ENTRE 40 GRADOS CENTIGRADOS A 51 GRADOSCENTIGRADOS, BLOQUE DE 3 A 10 KG.</v>
          </cell>
          <cell r="U2768">
            <v>1690</v>
          </cell>
          <cell r="V2768">
            <v>4223</v>
          </cell>
        </row>
        <row r="2769">
          <cell r="A2769">
            <v>2766</v>
          </cell>
          <cell r="B2769" t="str">
            <v>060.697.0028</v>
          </cell>
          <cell r="E2769" t="str">
            <v>PASTA O GEL. CONDUCTORA PARA SOMATOSENSORIALES. ENVASE CON 237 ML.</v>
          </cell>
          <cell r="U2769">
            <v>468</v>
          </cell>
          <cell r="V2769">
            <v>1168</v>
          </cell>
        </row>
        <row r="2770">
          <cell r="A2770">
            <v>2767</v>
          </cell>
          <cell r="B2770" t="str">
            <v>060.697.0036</v>
          </cell>
          <cell r="E2770" t="str">
            <v>PASTA. TOPICA PARA BAJAR LA IMPEDANCIA EN LA UNION DEL ELECTRODO. ENVASE CON 148ML.</v>
          </cell>
          <cell r="U2770">
            <v>48</v>
          </cell>
          <cell r="V2770">
            <v>120</v>
          </cell>
        </row>
        <row r="2771">
          <cell r="A2771">
            <v>2768</v>
          </cell>
          <cell r="B2771" t="str">
            <v>060.697.0267</v>
          </cell>
          <cell r="E2771" t="str">
            <v>Pasta o gel. Conductiva. Para electrocardiograma. Envase con 120 ml.</v>
          </cell>
          <cell r="U2771">
            <v>134066</v>
          </cell>
          <cell r="V2771">
            <v>335163</v>
          </cell>
        </row>
        <row r="2772">
          <cell r="A2772">
            <v>2769</v>
          </cell>
          <cell r="B2772" t="str">
            <v>060.697.0317</v>
          </cell>
          <cell r="E2772" t="str">
            <v>MATERIAL PARA IMPRESIÓN Y ACCESORIOS. PASTA TRÍPOLI PARA PULIR ACRÍLICO Y METAL. ENVASE CON 250 G.</v>
          </cell>
          <cell r="U2772">
            <v>4</v>
          </cell>
          <cell r="V2772">
            <v>8</v>
          </cell>
        </row>
        <row r="2773">
          <cell r="A2773">
            <v>2770</v>
          </cell>
          <cell r="B2773" t="str">
            <v>060.697.0341</v>
          </cell>
          <cell r="E2773" t="str">
            <v>PASTA. CONDUCTORA PARA ELECTROMIOGRAFIA. TUBO CON 270 ML.</v>
          </cell>
          <cell r="U2773">
            <v>900</v>
          </cell>
          <cell r="V2773">
            <v>2246</v>
          </cell>
        </row>
        <row r="2774">
          <cell r="A2774">
            <v>2771</v>
          </cell>
          <cell r="B2774" t="str">
            <v>060.697.0366</v>
          </cell>
          <cell r="E2774" t="str">
            <v>Gel. Gel a base de maltodextrina fructuosa ácido ascórbico y agua purificada como coadyuvante en el manejo de heridas. Tubo con 84 ml. Envase con 36 piezas.</v>
          </cell>
          <cell r="U2774">
            <v>2</v>
          </cell>
          <cell r="V2774">
            <v>2</v>
          </cell>
        </row>
        <row r="2775">
          <cell r="A2775">
            <v>2772</v>
          </cell>
          <cell r="B2775" t="str">
            <v>060.697.0382</v>
          </cell>
          <cell r="E2775" t="str">
            <v>GEL. GEL  A  BASE  DE  HIALURONATO  DE  ZINC  AL  0.1%  COMO INGREDIENTE ACTIVO. COADYUVANTE EN EL MANEJO DE HERIDAS CRÓNICAS. TUBO CON 15 G. PIEZA.</v>
          </cell>
          <cell r="U2775">
            <v>10931</v>
          </cell>
          <cell r="V2775">
            <v>27324</v>
          </cell>
        </row>
        <row r="2776">
          <cell r="A2776">
            <v>2773</v>
          </cell>
          <cell r="B2776" t="str">
            <v>060.699.0042</v>
          </cell>
          <cell r="E2776" t="str">
            <v>PARCHES DE FIELTRO DE POLITETRAFLUORETILENO, DE 15.24 X 15.24 CM. ENVASE CON 5PIEZAS.</v>
          </cell>
          <cell r="U2776">
            <v>704</v>
          </cell>
          <cell r="V2776">
            <v>1756</v>
          </cell>
        </row>
        <row r="2777">
          <cell r="A2777">
            <v>2774</v>
          </cell>
          <cell r="B2777" t="str">
            <v>060.699.0091</v>
          </cell>
          <cell r="E2777" t="str">
            <v>PARCHES. DE MALLA DE POLIESTER TRENZADO DE 30 X 30 CM. PIEZA.</v>
          </cell>
          <cell r="U2777">
            <v>4400</v>
          </cell>
          <cell r="V2777">
            <v>10997</v>
          </cell>
        </row>
        <row r="2778">
          <cell r="A2778">
            <v>2775</v>
          </cell>
          <cell r="B2778" t="str">
            <v>060.701.0360</v>
          </cell>
          <cell r="E2778" t="str">
            <v>Perilla. Para aspiración de secreciones. De hule. No. 2. Pieza.</v>
          </cell>
          <cell r="U2778">
            <v>987</v>
          </cell>
          <cell r="V2778">
            <v>2465</v>
          </cell>
        </row>
        <row r="2779">
          <cell r="A2779">
            <v>2776</v>
          </cell>
          <cell r="B2779" t="str">
            <v>060.701.0378</v>
          </cell>
          <cell r="E2779" t="str">
            <v>Perilla. Para aspiración de secreciones. De hule. No. 4. Pieza.</v>
          </cell>
          <cell r="U2779">
            <v>272959</v>
          </cell>
          <cell r="V2779">
            <v>682396</v>
          </cell>
        </row>
        <row r="2780">
          <cell r="A2780">
            <v>2777</v>
          </cell>
          <cell r="B2780" t="str">
            <v>060.711.0038</v>
          </cell>
          <cell r="E2780" t="str">
            <v>Testigos. Controles biológicos para material esterilizado en gas. Envase con 100 piezas.</v>
          </cell>
          <cell r="U2780">
            <v>7336</v>
          </cell>
          <cell r="V2780">
            <v>18340</v>
          </cell>
        </row>
        <row r="2781">
          <cell r="A2781">
            <v>2778</v>
          </cell>
          <cell r="B2781" t="str">
            <v>060.711.0046</v>
          </cell>
          <cell r="E2781" t="str">
            <v>Testigos. Controles biológicos para material esterilizado en vapor. Envase con 100 piezas.</v>
          </cell>
          <cell r="U2781">
            <v>36167</v>
          </cell>
          <cell r="V2781">
            <v>90416</v>
          </cell>
        </row>
        <row r="2782">
          <cell r="A2782">
            <v>2779</v>
          </cell>
          <cell r="B2782" t="str">
            <v>060.711.0053</v>
          </cell>
          <cell r="E2782" t="str">
            <v>PRUEBAS PARA ENDOFOTOCOAGULACION. ENDOPRUEBA RECTA PARA ENDOFOTOCOAGULACIONDESECHABLE. ENVASE CON 5 PRUEBAS.</v>
          </cell>
          <cell r="U2782">
            <v>792</v>
          </cell>
          <cell r="V2782">
            <v>1978</v>
          </cell>
        </row>
        <row r="2783">
          <cell r="A2783">
            <v>2780</v>
          </cell>
          <cell r="B2783" t="str">
            <v>060.711.0095</v>
          </cell>
          <cell r="E2783" t="str">
            <v>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v>
          </cell>
          <cell r="U2783">
            <v>1388</v>
          </cell>
          <cell r="V2783">
            <v>3466</v>
          </cell>
        </row>
        <row r="2784">
          <cell r="A2784">
            <v>2781</v>
          </cell>
          <cell r="B2784" t="str">
            <v>060.711.0145</v>
          </cell>
          <cell r="E2784" t="str">
            <v>Testigos. 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v>
          </cell>
          <cell r="U2784">
            <v>339213</v>
          </cell>
          <cell r="V2784">
            <v>848029</v>
          </cell>
        </row>
        <row r="2785">
          <cell r="A2785">
            <v>2782</v>
          </cell>
          <cell r="B2785" t="str">
            <v>060.717.0040</v>
          </cell>
          <cell r="E2785" t="str">
            <v>PINZAS DE SUJECION DESECHABLE PARA EL MANEJO DE EQUIPO PARA DIALISIS PERITONEAL.ENVASE CON 12 PIEZAS.</v>
          </cell>
          <cell r="U2785">
            <v>1080</v>
          </cell>
          <cell r="V2785">
            <v>2696</v>
          </cell>
        </row>
        <row r="2786">
          <cell r="A2786">
            <v>2783</v>
          </cell>
          <cell r="B2786" t="str">
            <v>060.727.0030</v>
          </cell>
          <cell r="E2786" t="str">
            <v>POLVOS. BICARBONATO DE SODIO EN POLVO CONTENIDO DE 99 A 100%. ENVASE CON 1 K.</v>
          </cell>
          <cell r="U2786">
            <v>3916</v>
          </cell>
          <cell r="V2786">
            <v>9786</v>
          </cell>
        </row>
        <row r="2787">
          <cell r="A2787">
            <v>2784</v>
          </cell>
          <cell r="B2787" t="str">
            <v>060.727.1907</v>
          </cell>
          <cell r="E2787" t="str">
            <v>Polvo para ostomia de 25 gr.</v>
          </cell>
          <cell r="U2787">
            <v>10</v>
          </cell>
          <cell r="V2787">
            <v>24</v>
          </cell>
        </row>
        <row r="2788">
          <cell r="A2788">
            <v>2785</v>
          </cell>
          <cell r="B2788" t="str">
            <v>060.730.0787</v>
          </cell>
          <cell r="E2788" t="str">
            <v>SUSTITUTO DE HUESO. HIDROXIAPATITA POROSA O FOSFATO TRICÁLCICO. FRASCO CON 6.3 G. (10 CM3). Ó PRESENTACIÓN EQUIVALENTE. PIEZA. EL TAMAÑO DEL GRÁNULO SERÁ DETERMINADO POR LAS UNIDADES MÉDICAS DE ACUERDO A SUS NECESIDADES.</v>
          </cell>
          <cell r="U2788">
            <v>1344</v>
          </cell>
          <cell r="V2788">
            <v>3360</v>
          </cell>
        </row>
        <row r="2789">
          <cell r="A2789">
            <v>2786</v>
          </cell>
          <cell r="B2789" t="str">
            <v>060.730.0803</v>
          </cell>
          <cell r="E2789" t="str">
            <v>MATERIALES DE OSTEOSÍNTESIS.  SUSTITUTO DE HUESO. HIDROXIAPATITA POROSA O FOSFATO TRICÁLCICO. FRASCO CON 12.7 G. (20 CM3). Ó PRESENTACIÓN EQUIVALENTE. PIEZA. EL TAMAÑO DEL GRÁNULO SERÁ DETERMINADO POR LAS UNIDADES MÉDICAS DE ACUERDO A SUS NECESIDADES.</v>
          </cell>
          <cell r="U2789">
            <v>1320</v>
          </cell>
          <cell r="V2789">
            <v>3297</v>
          </cell>
        </row>
        <row r="2790">
          <cell r="A2790">
            <v>2787</v>
          </cell>
          <cell r="B2790" t="str">
            <v>060.730.0811</v>
          </cell>
          <cell r="E2790" t="str">
            <v>MATERIALES DE OSTEOSÍNTESIS.  SUSTITUTO DE HUESO. HIDROXIAPATITA POROSA O FOSFATO TRICÁLCICO. FRASCO CON 20.5 G. (30 CM3). Ó PRESENTACIÓN EQUIVALENTE. PIEZA. EL TAMAÑO DEL GRÁNULO SERÁ DETERMINADO POR LAS UNIDADES MÉDICAS DE ACUERDO A SUS NECESIDADES.</v>
          </cell>
          <cell r="U2790">
            <v>833</v>
          </cell>
          <cell r="V2790">
            <v>2079</v>
          </cell>
        </row>
        <row r="2791">
          <cell r="A2791">
            <v>2788</v>
          </cell>
          <cell r="B2791" t="str">
            <v>060.740.0025</v>
          </cell>
          <cell r="E2791" t="str">
            <v>PROTECTORES. DE PIEL. TINTURA DE BENJUI AL 20%. ENVASE CON 1000 ML.</v>
          </cell>
          <cell r="U2791">
            <v>5902</v>
          </cell>
          <cell r="V2791">
            <v>14754</v>
          </cell>
        </row>
        <row r="2792">
          <cell r="A2792">
            <v>2789</v>
          </cell>
          <cell r="B2792" t="str">
            <v>060.747.0457</v>
          </cell>
          <cell r="E2792" t="str">
            <v>PROTESIS ENDOURETRAL. MALLA DE DISENO TRENZADO EN FORMA TUBULAR, MONOFILAMENTOSDE ACERO GRADO MEDICO, MONTADA EN DISPOSITIVO PARA COLOCACION, ESTERIL YDESECHABLE. LONGITUD 2 CM. CAPACIDAD MAXIMA DE EXPANSION 14 MM.</v>
          </cell>
          <cell r="U2792">
            <v>326</v>
          </cell>
          <cell r="V2792">
            <v>813</v>
          </cell>
        </row>
        <row r="2793">
          <cell r="A2793">
            <v>2790</v>
          </cell>
          <cell r="B2793" t="str">
            <v>060.747.2347</v>
          </cell>
          <cell r="E2793" t="str">
            <v>PROTÉSIS. PARA CONDUCTO BILIAR. TIPO: COTTON LEUNG. LONGITUD: CALIBRE: 7 CM. 10 FR. PIEZA.</v>
          </cell>
          <cell r="U2793">
            <v>9</v>
          </cell>
          <cell r="V2793">
            <v>21</v>
          </cell>
        </row>
        <row r="2794">
          <cell r="A2794">
            <v>2791</v>
          </cell>
          <cell r="B2794" t="str">
            <v>060.747.2354</v>
          </cell>
          <cell r="E2794" t="str">
            <v>PROTÉSIS. PARA CONDUCTO BILIAR. TIPO: COTTON LEUNG. LONGITUD: 10 CM. CALIBRE: 10 FR. PIEZA.</v>
          </cell>
          <cell r="U2794">
            <v>776</v>
          </cell>
          <cell r="V2794">
            <v>1937</v>
          </cell>
        </row>
        <row r="2795">
          <cell r="A2795">
            <v>2792</v>
          </cell>
          <cell r="B2795" t="str">
            <v>060.747.2362</v>
          </cell>
          <cell r="E2795" t="str">
            <v>PROTÉSIS. PARA CONDUCTO BILIAR. TIPO: COTTON LEUNG. LONGITUD: 15 CM. CALIBRE: 10 FR. PIEZA.</v>
          </cell>
          <cell r="U2795">
            <v>476</v>
          </cell>
          <cell r="V2795">
            <v>1188</v>
          </cell>
        </row>
        <row r="2796">
          <cell r="A2796">
            <v>2793</v>
          </cell>
          <cell r="B2796" t="str">
            <v>060.747.2370</v>
          </cell>
          <cell r="E2796" t="str">
            <v>PRÓTESIS TESTICULAR. DE SILICÓN TESTICULAR. MEDIANA. PIEZA.</v>
          </cell>
          <cell r="U2796">
            <v>226</v>
          </cell>
          <cell r="V2796">
            <v>563</v>
          </cell>
        </row>
        <row r="2797">
          <cell r="A2797">
            <v>2794</v>
          </cell>
          <cell r="B2797" t="str">
            <v>060.747.2388</v>
          </cell>
          <cell r="E2797" t="str">
            <v>PRÓTESIS TESTICULAR. DE SILICÓN TESTICULAR. CHICA. PIEZA.</v>
          </cell>
          <cell r="U2797">
            <v>5</v>
          </cell>
          <cell r="V2797">
            <v>11</v>
          </cell>
        </row>
        <row r="2798">
          <cell r="A2798">
            <v>2795</v>
          </cell>
          <cell r="B2798" t="str">
            <v>060.747.2396</v>
          </cell>
          <cell r="E2798" t="str">
            <v>PRÓTESIS TESTICULAR. DE SILICÓN TESTICULAR. GRANDE. PIEZA.</v>
          </cell>
          <cell r="U2798">
            <v>237</v>
          </cell>
          <cell r="V2798">
            <v>591</v>
          </cell>
        </row>
        <row r="2799">
          <cell r="A2799">
            <v>2796</v>
          </cell>
          <cell r="B2799" t="str">
            <v>060.747.2404</v>
          </cell>
          <cell r="E2799" t="str">
            <v>PROTESIS. PARA CONDUCTO BILIAR. TIPO COTTON HUIBREGTSE. LONGITUD. 12 CMCALIBRE.10 FR. PIEZA.</v>
          </cell>
          <cell r="U2799">
            <v>305</v>
          </cell>
          <cell r="V2799">
            <v>761</v>
          </cell>
        </row>
        <row r="2800">
          <cell r="A2800">
            <v>2797</v>
          </cell>
          <cell r="B2800" t="str">
            <v>060.747.2412</v>
          </cell>
          <cell r="E2800" t="str">
            <v>PROTÉSIS. ESOFÁGICA DIÁMETRO EXTERNO 17 A 23 MM DIÁMETRO INTERNO 11 A 18 MM. LONGITUD: 6.4 CM A 10.3 CM. PIEZA.</v>
          </cell>
          <cell r="U2800">
            <v>163</v>
          </cell>
          <cell r="V2800">
            <v>406</v>
          </cell>
        </row>
        <row r="2801">
          <cell r="A2801">
            <v>2798</v>
          </cell>
          <cell r="B2801" t="str">
            <v>060.747.2420</v>
          </cell>
          <cell r="E2801" t="str">
            <v>PROTÉSIS. ESOFÁGICA DIÁMETRO EXTERNO 17 A 23 MM DIÁMETRO INTERNO 11 A 18 MM. LONGITUD: 10.4 CM A 15 CM. PIEZA. PIEZA.</v>
          </cell>
          <cell r="U2801">
            <v>8</v>
          </cell>
          <cell r="V2801">
            <v>19</v>
          </cell>
        </row>
        <row r="2802">
          <cell r="A2802">
            <v>2799</v>
          </cell>
          <cell r="B2802" t="str">
            <v>060.748.3708</v>
          </cell>
          <cell r="E2802" t="str">
            <v>PROTESIS. PROTESIS PARA CONDUCTO BILIAR. ESTERIL Y DESECHABLE. LONGITUD: 12 CM.CALIBRE: 10.0 FR. PIEZA.</v>
          </cell>
          <cell r="U2802">
            <v>224</v>
          </cell>
          <cell r="V2802">
            <v>560</v>
          </cell>
        </row>
        <row r="2803">
          <cell r="A2803">
            <v>2800</v>
          </cell>
          <cell r="B2803" t="str">
            <v>060.748.3799</v>
          </cell>
          <cell r="E2803" t="str">
            <v>PROTESIS PARA CONDUCTO BILIAR. ESTERIL Y DESECHABLE. TIPO: SOEHENDRA TANNENBAUM,CALIBRE 8.5 FR LONGITUD 7 CM.</v>
          </cell>
          <cell r="U2803">
            <v>115</v>
          </cell>
          <cell r="V2803">
            <v>285</v>
          </cell>
        </row>
        <row r="2804">
          <cell r="A2804">
            <v>2801</v>
          </cell>
          <cell r="B2804" t="str">
            <v>060.748.3815</v>
          </cell>
          <cell r="E2804" t="str">
            <v>PROTESIS PARA CONDUCTO BILIAR. ESTERIL Y DESECHABLE. TIPO: SOEHENDRA TANNENBAUM,CALIBRE 8.5 FR LONGITUD 9 CM.</v>
          </cell>
          <cell r="U2804">
            <v>121</v>
          </cell>
          <cell r="V2804">
            <v>301</v>
          </cell>
        </row>
        <row r="2805">
          <cell r="A2805">
            <v>2802</v>
          </cell>
          <cell r="B2805" t="str">
            <v>060.748.3823</v>
          </cell>
          <cell r="E2805" t="str">
            <v>PROTESIS PARA CONDUCTO BILIAR. ESTERIL Y DESECHABLE. TIPO: SOEHENDRA TANNENBAUM,CALIBRE 8.5 FR LONGITUD 10 CM.</v>
          </cell>
          <cell r="U2805">
            <v>159</v>
          </cell>
          <cell r="V2805">
            <v>396</v>
          </cell>
        </row>
        <row r="2806">
          <cell r="A2806">
            <v>2803</v>
          </cell>
          <cell r="B2806" t="str">
            <v>060.748.3831</v>
          </cell>
          <cell r="E2806" t="str">
            <v>PROTESIS PARA CONDUCTO BILIAR. ESTERIL Y DESECHABLE. TIPO: SOEHENDRA TANNENBAUM,CALIBRE 8.5 FR LONGITUD 11 CM.</v>
          </cell>
          <cell r="U2806">
            <v>107</v>
          </cell>
          <cell r="V2806">
            <v>265</v>
          </cell>
        </row>
        <row r="2807">
          <cell r="A2807">
            <v>2804</v>
          </cell>
          <cell r="B2807" t="str">
            <v>060.748.3849</v>
          </cell>
          <cell r="E2807" t="str">
            <v>PROTESIS PARA CONDUCTO BILIAR. ESTERIL Y DESECHABLE. TIPO: SOEHENDRA TANNENBAUM,CALIBRE 8.5 FR LONGITUD 12 CM.</v>
          </cell>
          <cell r="U2807">
            <v>120</v>
          </cell>
          <cell r="V2807">
            <v>298</v>
          </cell>
        </row>
        <row r="2808">
          <cell r="A2808">
            <v>2805</v>
          </cell>
          <cell r="B2808" t="str">
            <v>060.748.3872</v>
          </cell>
          <cell r="E2808" t="str">
            <v>PROTESIS PARA CONDUCTO PANCREATICO. TIPO: GEENEN. ESTERIL Y DESECHABLE.LONGITUD. 5 CM CALIBRE. 5 FR.</v>
          </cell>
          <cell r="U2808">
            <v>115</v>
          </cell>
          <cell r="V2808">
            <v>285</v>
          </cell>
        </row>
        <row r="2809">
          <cell r="A2809">
            <v>2806</v>
          </cell>
          <cell r="B2809" t="str">
            <v>060.748.3880</v>
          </cell>
          <cell r="E2809" t="str">
            <v>PROTESIS.PROTESIS PARA CONDUCTO PANCREATICO. TIPO: GEENEN. ESTERIL Y DESECHABLE.LONGITUD. 7 CM CALIBRE. 5 FR. PIEZA.</v>
          </cell>
          <cell r="U2809">
            <v>85</v>
          </cell>
          <cell r="V2809">
            <v>210</v>
          </cell>
        </row>
        <row r="2810">
          <cell r="A2810">
            <v>2807</v>
          </cell>
          <cell r="B2810" t="str">
            <v>060.748.3898</v>
          </cell>
          <cell r="E2810" t="str">
            <v>PROTESIS.PROTESIS PARA CONDUCTO PANCREATICO. TIPO: GEENEN. ESTERIL Y DESECHABLE.LONGITUD. 9 CM CALIBRE. 5 FR. PIEZA.</v>
          </cell>
          <cell r="U2810">
            <v>106</v>
          </cell>
          <cell r="V2810">
            <v>264</v>
          </cell>
        </row>
        <row r="2811">
          <cell r="A2811">
            <v>2808</v>
          </cell>
          <cell r="B2811" t="str">
            <v>060.748.3906</v>
          </cell>
          <cell r="E2811" t="str">
            <v>PROTESIS PARA CONDUCTO PANCREATICO. TIPO: GEENEN. ESTERIL Y DESECHABLE.LONGITUD. 12 CM CALIBRE. 5 FR.</v>
          </cell>
          <cell r="U2811">
            <v>106</v>
          </cell>
          <cell r="V2811">
            <v>264</v>
          </cell>
        </row>
        <row r="2812">
          <cell r="A2812">
            <v>2809</v>
          </cell>
          <cell r="B2812" t="str">
            <v>060.748.3989</v>
          </cell>
          <cell r="E2812" t="str">
            <v>PROTESIS PARA CONDUCTO BILIAR. ESTERIL Y DESECHABLE. LONGITUD: 9CM. CALIBRE:7.0 FR.</v>
          </cell>
          <cell r="U2812">
            <v>146</v>
          </cell>
          <cell r="V2812">
            <v>363</v>
          </cell>
        </row>
        <row r="2813">
          <cell r="A2813">
            <v>2810</v>
          </cell>
          <cell r="B2813" t="str">
            <v>060.748.3997</v>
          </cell>
          <cell r="E2813" t="str">
            <v>PROTESIS PARA CONDUCTO BILIAR. ESTERIL Y DESECHABLE. LONGITUD: 12CM. CALIBRE:7.0 FR.</v>
          </cell>
          <cell r="U2813">
            <v>124</v>
          </cell>
          <cell r="V2813">
            <v>306</v>
          </cell>
        </row>
        <row r="2814">
          <cell r="A2814">
            <v>2811</v>
          </cell>
          <cell r="B2814" t="str">
            <v>060.748.4037</v>
          </cell>
          <cell r="E2814" t="str">
            <v>PROTESIS.PROTESIS PARA CONDUCTO BILIAR. ESTERIL Y DESECHABLE. LONGITUD: 9 CM.CALIBRE: 8.5 FR. PIEZA.</v>
          </cell>
          <cell r="U2814">
            <v>75</v>
          </cell>
          <cell r="V2814">
            <v>185</v>
          </cell>
        </row>
        <row r="2815">
          <cell r="A2815">
            <v>2812</v>
          </cell>
          <cell r="B2815" t="str">
            <v>060.748.4052</v>
          </cell>
          <cell r="E2815" t="str">
            <v>PROTESIS PARA CONDUCTO BILIAR. ESTERIL Y DESECHABLE. LONGITUD: 15 CM. CALIBRE:8.5 FR.</v>
          </cell>
          <cell r="U2815">
            <v>64</v>
          </cell>
          <cell r="V2815">
            <v>158</v>
          </cell>
        </row>
        <row r="2816">
          <cell r="A2816">
            <v>2813</v>
          </cell>
          <cell r="B2816" t="str">
            <v>060.748.7600</v>
          </cell>
          <cell r="E2816" t="str">
            <v>PROTESIS. PROTESIS METALICA BILIAR AUTOEXPANDIBLE. CON CUBIERTA PLASTICADIAMETRO DE LA PROTESIS Y LONGITUD EN MM. SISTEMA DE LIBERACION DE UN PASO 8 FR.CUBIERTA: 70 MM DIAMETRO: 10 MM LONGITUD: 80 MM PIEZA.</v>
          </cell>
          <cell r="U2816">
            <v>37</v>
          </cell>
          <cell r="V2816">
            <v>92</v>
          </cell>
        </row>
        <row r="2817">
          <cell r="A2817">
            <v>2814</v>
          </cell>
          <cell r="B2817" t="str">
            <v>060.748.7642</v>
          </cell>
          <cell r="E2817" t="str">
            <v>PROTESIS PARA TRATAMIENTO PALIATIVO DE OBSTRUCCIONES O ESTENOSIS DEL TUBODIGESTIVO, CON ESTRUCTURA DE MALLA METALICA AUTOEXPANDIBLE, SIN RECUBRIMIENTO,CON DIAMETRO DE 18 MM A 24 MM Y LONGITUD DE 60 MM A 90 MM, PARA SER COLOCADOPOR ENDOSCOPIA O GUIADO POR FLUOROSCOPIA.</v>
          </cell>
          <cell r="U2817">
            <v>55</v>
          </cell>
          <cell r="V2817">
            <v>135</v>
          </cell>
        </row>
        <row r="2818">
          <cell r="A2818">
            <v>2815</v>
          </cell>
          <cell r="B2818" t="str">
            <v>060.748.8830</v>
          </cell>
          <cell r="E2818" t="str">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ell>
          <cell r="U2818">
            <v>1129</v>
          </cell>
          <cell r="V2818">
            <v>2820</v>
          </cell>
        </row>
        <row r="2819">
          <cell r="A2819">
            <v>2816</v>
          </cell>
          <cell r="B2819" t="str">
            <v>060.748.8848</v>
          </cell>
          <cell r="E2819" t="str">
            <v>Prótesis endovascural. Prótesis endovascular coronaria (stent); estructura de acero inoxidable o aleaciones de titanio-níquel o de cromo-cobalto o cromo-platino; sin recubrimiento. Diseño modular o tubular montada en balón de alta presión y bajo perfil. Diámetro: 2.25 a 5.00 mm Longitud: 8.0 a 33 mm El diámetro la longitud el recubrimiento y el material serán seleccionados por las unidades médicas de acuerdo a sus necesidades.</v>
          </cell>
          <cell r="U2819">
            <v>34</v>
          </cell>
          <cell r="V2819">
            <v>84</v>
          </cell>
        </row>
        <row r="2820">
          <cell r="A2820">
            <v>2817</v>
          </cell>
          <cell r="B2820" t="str">
            <v>060.749.0703</v>
          </cell>
          <cell r="E2820" t="str">
            <v>Pastas. Para profilaxis dental. Abrasiva. Con abrasivos blandos. Envase con 200 g.</v>
          </cell>
          <cell r="U2820">
            <v>21553</v>
          </cell>
          <cell r="V2820">
            <v>53881</v>
          </cell>
        </row>
        <row r="2821">
          <cell r="A2821">
            <v>2818</v>
          </cell>
          <cell r="B2821" t="str">
            <v>060.749.0836</v>
          </cell>
          <cell r="E2821" t="str">
            <v>Pulidor. Sistema de pulido para uso dental. Kit. Las instituciones podrán elegir las variantes del sistema.</v>
          </cell>
          <cell r="U2821">
            <v>48</v>
          </cell>
          <cell r="V2821">
            <v>120</v>
          </cell>
        </row>
        <row r="2822">
          <cell r="A2822">
            <v>2819</v>
          </cell>
          <cell r="B2822" t="str">
            <v>060.749.2655</v>
          </cell>
          <cell r="E2822" t="str">
            <v>Deposito recolector de líquidos, con sellado, filtro anti- desbordamiento, tubo de conexión a consola, tubo de conexión a drenaje, saco gelificante de agar y filtro de entrada al sistema. De 750cc.</v>
          </cell>
          <cell r="U2822">
            <v>12</v>
          </cell>
          <cell r="V2822">
            <v>30</v>
          </cell>
        </row>
        <row r="2823">
          <cell r="A2823">
            <v>2820</v>
          </cell>
          <cell r="B2823" t="str">
            <v>060.753.0011</v>
          </cell>
          <cell r="E2823" t="str">
            <v>Puntas de Gutapercha. Para obturación de conductos radiculares. Números: 45 a 80 (de 5 en 5). Envase con 200.</v>
          </cell>
          <cell r="U2823">
            <v>84</v>
          </cell>
          <cell r="V2823">
            <v>210</v>
          </cell>
        </row>
        <row r="2824">
          <cell r="A2824">
            <v>2821</v>
          </cell>
          <cell r="B2824" t="str">
            <v>060.753.0029</v>
          </cell>
          <cell r="E2824" t="str">
            <v>Puntas absorbentes. Para endodoncia. De papel estériles. Números: 45 a 80 (de 5 en 5). Envase con 200.</v>
          </cell>
          <cell r="U2824">
            <v>88</v>
          </cell>
          <cell r="V2824">
            <v>220</v>
          </cell>
        </row>
        <row r="2825">
          <cell r="A2825">
            <v>2822</v>
          </cell>
          <cell r="B2825" t="str">
            <v>060.753.0052</v>
          </cell>
          <cell r="E2825" t="str">
            <v>Puntas absorbentes. Para endodoncia. De papel estériles. Números: 10 a 40 (de 5 en 5). Envase con 200.</v>
          </cell>
          <cell r="U2825">
            <v>8</v>
          </cell>
          <cell r="V2825">
            <v>20</v>
          </cell>
        </row>
        <row r="2826">
          <cell r="A2826">
            <v>2823</v>
          </cell>
          <cell r="B2826" t="str">
            <v>060.753.0102</v>
          </cell>
          <cell r="E2826" t="str">
            <v>Puntas de Gutapercha. Para obturación de conductos radiculares. Números: 10 a 40 (de 5 en 5). Envase con 200.</v>
          </cell>
          <cell r="U2826">
            <v>90</v>
          </cell>
          <cell r="V2826">
            <v>224</v>
          </cell>
        </row>
        <row r="2827">
          <cell r="A2827">
            <v>2824</v>
          </cell>
          <cell r="B2827" t="str">
            <v>060.771.0050</v>
          </cell>
          <cell r="E2827" t="str">
            <v>Rastrillos. Con dientes de bordes romos y hoja de un filo. Desechables. Pieza.</v>
          </cell>
          <cell r="U2827">
            <v>1613140</v>
          </cell>
          <cell r="V2827">
            <v>4032849</v>
          </cell>
        </row>
        <row r="2828">
          <cell r="A2828">
            <v>2825</v>
          </cell>
          <cell r="B2828" t="str">
            <v>060.771.0068</v>
          </cell>
          <cell r="E2828" t="str">
            <v>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v>
          </cell>
          <cell r="U2828">
            <v>13863</v>
          </cell>
          <cell r="V2828">
            <v>34654</v>
          </cell>
        </row>
        <row r="2829">
          <cell r="A2829">
            <v>2826</v>
          </cell>
          <cell r="B2829" t="str">
            <v>060.783.0056</v>
          </cell>
          <cell r="E2829" t="str">
            <v>RESERVORIOS. PARA LIQUIDO CEFALORRAQUIDEO DE 24 A 25 MM DE DIAMETRO. TAMAÑO:ADULTO. TIPO: OMMAYA. PIEZA.</v>
          </cell>
          <cell r="U2829">
            <v>56858</v>
          </cell>
          <cell r="V2829">
            <v>142144</v>
          </cell>
        </row>
        <row r="2830">
          <cell r="A2830">
            <v>2827</v>
          </cell>
          <cell r="B2830" t="str">
            <v>060.783.0064</v>
          </cell>
          <cell r="E2830" t="str">
            <v>RESERVORIOS. PARA LIQUIDO CEFALORRAQUIDEO DE 12 A 14 MM DE DIAMETRO. TAMAÑOINFANTIL. TIPO: OMMAYA. PIEZA.</v>
          </cell>
          <cell r="U2830">
            <v>255</v>
          </cell>
          <cell r="V2830">
            <v>637</v>
          </cell>
        </row>
        <row r="2831">
          <cell r="A2831">
            <v>2828</v>
          </cell>
          <cell r="B2831" t="str">
            <v>060.783.0304</v>
          </cell>
          <cell r="E2831" t="str">
            <v>SISTEMA. SISTEMA PARA DRENAJE SUBDURAL DE SILICON GRADO MEDICO. CONSTA DE: -BOLSA O RESERVORIO CON CAPACIDAD DE 250 ML. - CATETER SUBDURAL DE 14 FR Y DE 30CM DE LARGO; CON ARO DE SUTURA PARA SU FIJACION A LOS TEJIDOS ADYACENTES; PUNTAREDONDEADA Y ORIFICIOS EN LOS PRIMEROS 5 CM EN SU EXTREMO INTRACRANEAL. -CONECTOR DE DRENAJE PARA UNIR CATETER SUBDURAL A LA BOLSA. - CONECTOR DE DRENAJEEN LA SALIDA DE LA BOLSA CON VALVULA O LLAVE PARA VACIADO. ESTERIL Y DESECHABLE.PIEZA.</v>
          </cell>
          <cell r="U2831">
            <v>7268</v>
          </cell>
          <cell r="V2831">
            <v>18168</v>
          </cell>
        </row>
        <row r="2832">
          <cell r="A2832">
            <v>2829</v>
          </cell>
          <cell r="B2832" t="str">
            <v>060.791.0015</v>
          </cell>
          <cell r="E2832" t="str">
            <v>RESINAS. RESINA PARA BONDING DE BRACKETS FOTOCURABLE (CON LUZ HALÓGENA). ESTUCHE.</v>
          </cell>
          <cell r="U2832">
            <v>3270</v>
          </cell>
          <cell r="V2832">
            <v>8172</v>
          </cell>
        </row>
        <row r="2833">
          <cell r="A2833">
            <v>2830</v>
          </cell>
          <cell r="B2833" t="str">
            <v>060.791.0106</v>
          </cell>
          <cell r="E2833" t="str">
            <v>Resina. Fotopolimerizable para restauración de dientes anteriores y posteriores. Jeringa 3.5g. Las instituciones podrán elegir las variantes de color y composición.</v>
          </cell>
          <cell r="U2833">
            <v>50256</v>
          </cell>
          <cell r="V2833">
            <v>125637</v>
          </cell>
        </row>
        <row r="2834">
          <cell r="A2834">
            <v>2831</v>
          </cell>
          <cell r="B2834" t="str">
            <v>060.791.0114</v>
          </cell>
          <cell r="E2834" t="str">
            <v>Resina. Fotopolimerizable para restauración de dientes anteriores y posteriores. Jeringa 4g. Las instituciones podrán elegir las variantes de color y composición.</v>
          </cell>
          <cell r="U2834">
            <v>20280</v>
          </cell>
          <cell r="V2834">
            <v>50699</v>
          </cell>
        </row>
        <row r="2835">
          <cell r="A2835">
            <v>2832</v>
          </cell>
          <cell r="B2835" t="str">
            <v>060.797.0019</v>
          </cell>
          <cell r="E2835" t="str">
            <v>ALGODONES. PARA USO DENTAL. MEDIDA: 3.8 X 0.8 CM. ENVASE CON 500 ROLLOS.</v>
          </cell>
          <cell r="U2835">
            <v>18424</v>
          </cell>
          <cell r="V2835">
            <v>46058</v>
          </cell>
        </row>
        <row r="2836">
          <cell r="A2836">
            <v>2833</v>
          </cell>
          <cell r="B2836" t="str">
            <v>060.799.0025</v>
          </cell>
          <cell r="E2836" t="str">
            <v>Sábana repelente y desechable para paciente. Juego de sábanas, repelentes y desechable para paciente. Elaboradas con tela no tejida, 100% polipropileno de al menos 4 pines (SMMS) de al menos 38gr/m², con dos sábanas una para cajón y una plana. Resistente a la penetración por impacto de fluidos, resistencia a la presión hidrostática de fluidos, hidrofóbico, color antirreflejante, no transparente, antiestática y resistente a la tensión. Producto de un solo uso. Desechable. No estéril. Con capa protectora antibacterial. Medidas: Sábana para cajón plana: 210+/- 5cm x 110 +/-5 cm Sábana plana: 210 +/- 5 cm x 115 +/- 5 cm.</v>
          </cell>
          <cell r="U2836">
            <v>81732</v>
          </cell>
          <cell r="V2836">
            <v>204326</v>
          </cell>
        </row>
        <row r="2837">
          <cell r="A2837">
            <v>2834</v>
          </cell>
          <cell r="B2837" t="str">
            <v>060.800.0014</v>
          </cell>
          <cell r="E2837" t="str">
            <v>SAFENOTOMOS. SAFENOTOMO CON GUIA METALICA MULTIFILAMENTO RECUBIERTO DE PLASTICOFLEXIBLE CON PUNTA ROMA EN EL EXTREMO DISTAL CON TRES OLIVAS DE DIFERENTESTAMAÑOS Y MANGO PARA JALAR DE LA GUIA. ESTERIL Y DESECHABLE. PIEZA.</v>
          </cell>
          <cell r="U2837">
            <v>5854</v>
          </cell>
          <cell r="V2837">
            <v>14632</v>
          </cell>
        </row>
        <row r="2838">
          <cell r="A2838">
            <v>2835</v>
          </cell>
          <cell r="B2838" t="str">
            <v>060.811.0060</v>
          </cell>
          <cell r="E2838" t="str">
            <v>Hilos. Seda dental sin cera. Envase con rollo de 50 m.</v>
          </cell>
          <cell r="U2838">
            <v>183094</v>
          </cell>
          <cell r="V2838">
            <v>457734</v>
          </cell>
        </row>
        <row r="2839">
          <cell r="A2839">
            <v>2836</v>
          </cell>
          <cell r="B2839" t="str">
            <v>060.811.0078</v>
          </cell>
          <cell r="E2839" t="str">
            <v>Hilos. Hilo dental de monofilamento. Envase de 25 m.</v>
          </cell>
          <cell r="U2839">
            <v>135138</v>
          </cell>
          <cell r="V2839">
            <v>337842</v>
          </cell>
        </row>
        <row r="2840">
          <cell r="A2840">
            <v>2837</v>
          </cell>
          <cell r="B2840" t="str">
            <v>060.813.0035</v>
          </cell>
          <cell r="E2840" t="str">
            <v>Material para impresión y accesorios. Separador líquido para yeso y acrílico. Envase con 1 lt.</v>
          </cell>
          <cell r="U2840">
            <v>854</v>
          </cell>
          <cell r="V2840">
            <v>2133</v>
          </cell>
        </row>
        <row r="2841">
          <cell r="A2841">
            <v>2838</v>
          </cell>
          <cell r="B2841" t="str">
            <v>060.815.0058</v>
          </cell>
          <cell r="E2841" t="str">
            <v>Selladores. De fisuras y fosetas. Envase con 3 ml de bond base. Envase con 3 ml de sellador de fisuras. 2 envases con 3 ml cada uno con bond catalizador. Jeringa con 2 ml de gel grabador. 2 portapinceles. 10 cánulas. 1 block de mezcla. 5 pozos de mezcla. 30 pinceles. 1 instructivo. Estuche.</v>
          </cell>
          <cell r="U2841">
            <v>7736</v>
          </cell>
          <cell r="V2841">
            <v>19339</v>
          </cell>
        </row>
        <row r="2842">
          <cell r="A2842">
            <v>2839</v>
          </cell>
          <cell r="B2842" t="str">
            <v>060.819.0021</v>
          </cell>
          <cell r="E2842" t="str">
            <v>Solventes. Acetona. Para usos diversos. Envase con 1000 ml.</v>
          </cell>
          <cell r="U2842">
            <v>27301</v>
          </cell>
          <cell r="V2842">
            <v>68250</v>
          </cell>
        </row>
        <row r="2843">
          <cell r="A2843">
            <v>2840</v>
          </cell>
          <cell r="B2843" t="str">
            <v>060.820.0341</v>
          </cell>
          <cell r="E2843" t="str">
            <v>INFUSOR. LINEA DE CONTROL DE FLUJO, DE CLORURO DE POLIVINILO GRADO MEDICO, CONCONECTOR LUER-MACHO EN EL EXTREMO APROXIMAL Y LUER-HEMBRA EN EL DISTAL, PARAADAPTARSE A LA JERINGA DE 10 ML PARA INFUSION DE VOLUMENES MEDIDOS. FLUJO 10 MLEN 24 HORAS. ESTERIL Y DESECHABLE. PIEZA.</v>
          </cell>
          <cell r="U2843">
            <v>5956</v>
          </cell>
          <cell r="V2843">
            <v>14886</v>
          </cell>
        </row>
        <row r="2844">
          <cell r="A2844">
            <v>2841</v>
          </cell>
          <cell r="B2844" t="str">
            <v>060.820.0366</v>
          </cell>
          <cell r="E2844" t="str">
            <v>Sistemas.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Neonatal. Pieza.</v>
          </cell>
          <cell r="U2844">
            <v>21776</v>
          </cell>
          <cell r="V2844">
            <v>54437</v>
          </cell>
        </row>
        <row r="2845">
          <cell r="A2845">
            <v>2842</v>
          </cell>
          <cell r="B2845" t="str">
            <v>060.820.0374</v>
          </cell>
          <cell r="E2845" t="str">
            <v>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NO. 2. PIEZA.</v>
          </cell>
          <cell r="U2845">
            <v>15579</v>
          </cell>
          <cell r="V2845">
            <v>38945</v>
          </cell>
        </row>
        <row r="2846">
          <cell r="A2846">
            <v>2843</v>
          </cell>
          <cell r="B2846" t="str">
            <v>060.820.0382</v>
          </cell>
          <cell r="E2846" t="str">
            <v>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NO. 3. PIEZA.</v>
          </cell>
          <cell r="U2846">
            <v>11092</v>
          </cell>
          <cell r="V2846">
            <v>27728</v>
          </cell>
        </row>
        <row r="2847">
          <cell r="A2847">
            <v>2844</v>
          </cell>
          <cell r="B2847" t="str">
            <v>060.820.0390</v>
          </cell>
          <cell r="E2847" t="str">
            <v>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ADULTO. PIEZA.</v>
          </cell>
          <cell r="U2847">
            <v>8030</v>
          </cell>
          <cell r="V2847">
            <v>20073</v>
          </cell>
        </row>
        <row r="2848">
          <cell r="A2848">
            <v>2845</v>
          </cell>
          <cell r="B2848" t="str">
            <v>060.830.0380</v>
          </cell>
          <cell r="E2848" t="str">
            <v>SONDAS. NASAL UNIVERSAL DE SILICON CON DOBLE GLOBO DE INFLADO INDEPENDIENTE.PIEZA.</v>
          </cell>
          <cell r="U2848">
            <v>668</v>
          </cell>
          <cell r="V2848">
            <v>1668</v>
          </cell>
        </row>
        <row r="2849">
          <cell r="A2849">
            <v>2846</v>
          </cell>
          <cell r="B2849" t="str">
            <v>060.830.7070</v>
          </cell>
          <cell r="E2849" t="str">
            <v>Sondas. Para drenaje torácico de elastómero de silicón radiopaca. Longitud: 45 a 51 cm. Calibre: 36 Fr. Pieza.</v>
          </cell>
          <cell r="U2849">
            <v>44894</v>
          </cell>
          <cell r="V2849">
            <v>112234</v>
          </cell>
        </row>
        <row r="2850">
          <cell r="A2850">
            <v>2847</v>
          </cell>
          <cell r="B2850" t="str">
            <v>060.830.7088</v>
          </cell>
          <cell r="E2850" t="str">
            <v>Sondas. Para drenaje torácico de elastómero de silicón radiopaca. Longitud: Calibre: 45 a 51 cm. 19 Fr. Pieza.</v>
          </cell>
          <cell r="U2850">
            <v>19132</v>
          </cell>
          <cell r="V2850">
            <v>47827</v>
          </cell>
        </row>
        <row r="2851">
          <cell r="A2851">
            <v>2848</v>
          </cell>
          <cell r="B2851" t="str">
            <v>060.830.7096</v>
          </cell>
          <cell r="E2851" t="str">
            <v>SONDAS. PARA YEYUNOSTOMÍA ESPECIAL PARA NUTRICIÓN A LARGO PLAZO. DESECHABLE. LONGITUD: 120 CM. CALIBRE: 12 FR. PIEZA.</v>
          </cell>
          <cell r="U2851">
            <v>9317</v>
          </cell>
          <cell r="V2851">
            <v>23292</v>
          </cell>
        </row>
        <row r="2852">
          <cell r="A2852">
            <v>2849</v>
          </cell>
          <cell r="B2852" t="str">
            <v>060.830.7104</v>
          </cell>
          <cell r="E2852" t="str">
            <v>SONDAS. PARA YEYUNOSTOMÍA ESPECIAL PARA NUTRICIÓN A LARGO PLAZO. DESECHABLE. LONGITUD: 120 CM. CALIBRE: 14 FR. PIEZA.</v>
          </cell>
          <cell r="U2852">
            <v>1483</v>
          </cell>
          <cell r="V2852">
            <v>3707</v>
          </cell>
        </row>
        <row r="2853">
          <cell r="A2853">
            <v>2850</v>
          </cell>
          <cell r="B2853" t="str">
            <v>060.830.7112</v>
          </cell>
          <cell r="E2853" t="str">
            <v>SONDAS. PARA YEYUNOSTOMÍA ESPECIAL PARA NUTRICIÓN A LARGO PLAZO. DESECHABLE. LONGITUD: 120 CM. CALIBRE: 16 FR. PIEZA.</v>
          </cell>
          <cell r="U2853">
            <v>3005</v>
          </cell>
          <cell r="V2853">
            <v>7509</v>
          </cell>
        </row>
        <row r="2854">
          <cell r="A2854">
            <v>2851</v>
          </cell>
          <cell r="B2854" t="str">
            <v>060.830.7120</v>
          </cell>
          <cell r="E2854" t="str">
            <v>SONDAS. PARA YEYUNOSTOMÍA ESPECIAL PARA NUTRICIÓN A LARGO PLAZO. DESECHABLE. LONGITUD: 120 CM. CALIBRE: 18 FR. PIEZA.</v>
          </cell>
          <cell r="U2854">
            <v>903</v>
          </cell>
          <cell r="V2854">
            <v>2255</v>
          </cell>
        </row>
        <row r="2855">
          <cell r="A2855">
            <v>2852</v>
          </cell>
          <cell r="B2855" t="str">
            <v>060.830.7138</v>
          </cell>
          <cell r="E2855" t="str">
            <v>SONDAS. PARA YEYUNOSTOMÍA ESPECIAL PARA NUTRICIÓN A LARGO PLAZO. DESECHABLE. LONGITUD: 120 CM. CALIBRE: 20 FR. PIEZA.</v>
          </cell>
          <cell r="U2855">
            <v>602</v>
          </cell>
          <cell r="V2855">
            <v>1505</v>
          </cell>
        </row>
        <row r="2856">
          <cell r="A2856">
            <v>2853</v>
          </cell>
          <cell r="B2856" t="str">
            <v>060.830.7146</v>
          </cell>
          <cell r="E2856" t="str">
            <v>Sondas. Para yeyunostomía especial para nutrición a largo plazo. Desechable. Longitud: 120 cm. Calibre: 22 Fr. Pieza.</v>
          </cell>
          <cell r="U2856">
            <v>754</v>
          </cell>
          <cell r="V2856">
            <v>1883</v>
          </cell>
        </row>
        <row r="2857">
          <cell r="A2857">
            <v>2854</v>
          </cell>
          <cell r="B2857" t="str">
            <v>060.830.7153</v>
          </cell>
          <cell r="E2857" t="str">
            <v>SONDAS. PARA YEYUNOSTOMÍA ESPECIAL PARA NUTRICIÓN A LARGO PLAZO. DESECHABLE. LONGITUD: 120 CM. CALIBRE: 24 FR. PIEZA.</v>
          </cell>
          <cell r="U2857">
            <v>386</v>
          </cell>
          <cell r="V2857">
            <v>963</v>
          </cell>
        </row>
        <row r="2858">
          <cell r="A2858">
            <v>2855</v>
          </cell>
          <cell r="B2858" t="str">
            <v>060.830.7179</v>
          </cell>
          <cell r="E2858" t="str">
            <v>SONDAS. SONDA PARA NUTRICIÓN ENTERAL CON ESTILETE PUNTA DE TUNGSTENO Y GUÍA DE ALAMBRE CON ADAPTADOR. LONGITUD: 114 CM. CALIBRE: . 8 FR. PIEZA.</v>
          </cell>
          <cell r="U2858">
            <v>584</v>
          </cell>
          <cell r="V2858">
            <v>1458</v>
          </cell>
        </row>
        <row r="2859">
          <cell r="A2859">
            <v>2856</v>
          </cell>
          <cell r="B2859" t="str">
            <v>060.830.7187</v>
          </cell>
          <cell r="E2859" t="str">
            <v>SONDAS. SONDA PARA NUTRICIÓN ENTERAL CON ESTILETE PUNTA DE TUNGSTENO Y GUÍA DE ALAMBRE CON ADAPTADOR. LONGITUD: 114 CM. CALIBRE: 12 FR. PIEZA.</v>
          </cell>
          <cell r="U2859">
            <v>4382</v>
          </cell>
          <cell r="V2859">
            <v>10953</v>
          </cell>
        </row>
        <row r="2860">
          <cell r="A2860">
            <v>2857</v>
          </cell>
          <cell r="B2860" t="str">
            <v>060.830.7245</v>
          </cell>
          <cell r="E2860" t="str">
            <v>SONDAS. URETERALES DE ELASTÓMERO DE SILICÓN DE 3 VÍAS PARA CISTOMETRÍA. 18 FR. PIEZA.</v>
          </cell>
          <cell r="U2860">
            <v>810</v>
          </cell>
          <cell r="V2860">
            <v>2023</v>
          </cell>
        </row>
        <row r="2861">
          <cell r="A2861">
            <v>2858</v>
          </cell>
          <cell r="B2861" t="str">
            <v>060.833.0015</v>
          </cell>
          <cell r="E2861" t="str">
            <v>Soluciones. Para irrigación transuretral de glicina en envase con entrada que se adapte al equipo para irrigación transuretral. Envase con 3000 ml.</v>
          </cell>
          <cell r="U2861">
            <v>284502</v>
          </cell>
          <cell r="V2861">
            <v>711253</v>
          </cell>
        </row>
        <row r="2862">
          <cell r="A2862">
            <v>2859</v>
          </cell>
          <cell r="B2862" t="str">
            <v>060.833.0098</v>
          </cell>
          <cell r="E2862" t="str">
            <v>SOLUCIONES. HIALURONATO DE SODIO, SOLUCION OFTALMICA. CADA ML CONTIENE:HIALURONATO DESODIO 10 MG O 16 MG. ENVASE CON UNA JERINGA CON 0.4 ML, A 1 ML.</v>
          </cell>
          <cell r="U2862">
            <v>29797</v>
          </cell>
          <cell r="V2862">
            <v>74490</v>
          </cell>
        </row>
        <row r="2863">
          <cell r="A2863">
            <v>2860</v>
          </cell>
          <cell r="B2863" t="str">
            <v>060.833.0171</v>
          </cell>
          <cell r="E2863" t="str">
            <v>LIQUIDOS. PESADO PURIFICADO PARA USO INTRAOCULAR PERFLUORURO DE KALINA. ENVASECON 5 ML.</v>
          </cell>
          <cell r="U2863">
            <v>616</v>
          </cell>
          <cell r="V2863">
            <v>1536</v>
          </cell>
        </row>
        <row r="2864">
          <cell r="A2864">
            <v>2861</v>
          </cell>
          <cell r="B2864" t="str">
            <v>060.833.0189</v>
          </cell>
          <cell r="E2864" t="str">
            <v>LÍQUIDOS. PRESERVADOR DE CÓRNEA QUE CONTIENE: 2.5% DE SULFATO DE CONDROITÍN DEXTRÁN Y SULFATO DE GENTAMICINA. FRASCO.</v>
          </cell>
          <cell r="U2864">
            <v>9321</v>
          </cell>
          <cell r="V2864">
            <v>23301</v>
          </cell>
        </row>
        <row r="2865">
          <cell r="A2865">
            <v>2862</v>
          </cell>
          <cell r="B2865" t="str">
            <v>060.833.0254</v>
          </cell>
          <cell r="E2865" t="str">
            <v>Soluciones. Salina balanceada normal para irrigación oftálmica. Envase con 500 ml.</v>
          </cell>
          <cell r="U2865">
            <v>13147</v>
          </cell>
          <cell r="V2865">
            <v>32867</v>
          </cell>
        </row>
        <row r="2866">
          <cell r="A2866">
            <v>2863</v>
          </cell>
          <cell r="B2866" t="str">
            <v>060.833.0288</v>
          </cell>
          <cell r="E2866" t="str">
            <v>Hidrogel. Spray de manosa acetilada. (Extracto de aloe vera 0.2%) para limpieza y humectación de heridas. Frasco atomizador con 180 g.</v>
          </cell>
          <cell r="U2866">
            <v>2</v>
          </cell>
          <cell r="V2866">
            <v>2</v>
          </cell>
        </row>
        <row r="2867">
          <cell r="A2867">
            <v>2864</v>
          </cell>
          <cell r="B2867" t="str">
            <v>060.833.0296</v>
          </cell>
          <cell r="E2867" t="str">
            <v>Detergente o limpiadores. Solución removedora para eliminar costras y manchas de oxidación del instrumental quirúrgico. Envase con 1 a 5 lt.</v>
          </cell>
          <cell r="U2867">
            <v>4364</v>
          </cell>
          <cell r="V2867">
            <v>10909</v>
          </cell>
        </row>
        <row r="2868">
          <cell r="A2868">
            <v>2865</v>
          </cell>
          <cell r="B2868" t="str">
            <v>060.833.0312</v>
          </cell>
          <cell r="E2868" t="str">
            <v>SOLUCIONES. DEXPANTENOL AL 5%(GEL). TUBO DE 10 G.</v>
          </cell>
          <cell r="U2868">
            <v>48126</v>
          </cell>
          <cell r="V2868">
            <v>120313</v>
          </cell>
        </row>
        <row r="2869">
          <cell r="A2869">
            <v>2866</v>
          </cell>
          <cell r="B2869" t="str">
            <v>060.833.0346</v>
          </cell>
          <cell r="E2869" t="str">
            <v>Solución intra-articular. Solución estéril elasto-viscosa de aplicación intra-articular. Cada ml contiene: Hilano: 8.0 mg Envase con jeringa de 2 ml.</v>
          </cell>
          <cell r="U2869">
            <v>217835</v>
          </cell>
          <cell r="V2869">
            <v>544585</v>
          </cell>
        </row>
        <row r="2870">
          <cell r="A2870">
            <v>2867</v>
          </cell>
          <cell r="B2870" t="str">
            <v>060.833.0353</v>
          </cell>
          <cell r="E2870" t="str">
            <v>Solución de lavado y preservación de órganos. Solución de lavado y preservación multiórganos. Contiene amortiguadores depuradores; inerte a radicales libres; pH 7.0 a 7.4 Conservar de acuerdo a las instrucciones del fabricante a temperatura ambiente o en refrigeración (2 a 8°C). Envase con un litro de solución. Las unidades médicas seleccionarán el tipo de solución de acuerdo al órgano a trasplantar.</v>
          </cell>
          <cell r="U2870">
            <v>6283</v>
          </cell>
          <cell r="V2870">
            <v>15706</v>
          </cell>
        </row>
        <row r="2871">
          <cell r="A2871">
            <v>2868</v>
          </cell>
          <cell r="B2871" t="str">
            <v>060.833.0361</v>
          </cell>
          <cell r="E2871" t="str">
            <v>Hialuronato de sodio. Solución estéril elasto-viscosa para aplicación intra-articular Cada ml contiene: Hialuronato de sodio 10 mg. Caja o Envase con jeringa con 2 ml</v>
          </cell>
          <cell r="U2871">
            <v>2235</v>
          </cell>
          <cell r="V2871">
            <v>5585</v>
          </cell>
        </row>
        <row r="2872">
          <cell r="A2872">
            <v>2869</v>
          </cell>
          <cell r="B2872" t="str">
            <v>060.833.0387</v>
          </cell>
          <cell r="E2872" t="str">
            <v>Solución intra-articular. Solución estéril elasto-viscosa de aplicación intra-articular. Cada ml contiene: Hilano: 8.0 mg Envase con jeringa de 6 ml.</v>
          </cell>
          <cell r="U2872">
            <v>40</v>
          </cell>
          <cell r="V2872">
            <v>100</v>
          </cell>
        </row>
        <row r="2873">
          <cell r="A2873">
            <v>2870</v>
          </cell>
          <cell r="B2873" t="str">
            <v>060.833.0395</v>
          </cell>
          <cell r="E2873" t="str">
            <v>SOLUCIÓN TIXOTRÓPICA. SOLUCIÓN TIXOTRÓPICA. CADA 100 G CONTIENE: MALTODEXTRINA 55 G ÓXIDO DE ZINC 10 G AGUA PURIFICADA CBP 100 G FRASCO CONTENIENDO 30 G</v>
          </cell>
          <cell r="U2873">
            <v>3723</v>
          </cell>
          <cell r="V2873">
            <v>9306</v>
          </cell>
        </row>
        <row r="2874">
          <cell r="A2874">
            <v>2871</v>
          </cell>
          <cell r="B2874" t="str">
            <v>060.833.0411</v>
          </cell>
          <cell r="E2874" t="str">
            <v>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v>
          </cell>
          <cell r="U2874">
            <v>510</v>
          </cell>
          <cell r="V2874">
            <v>1274</v>
          </cell>
        </row>
        <row r="2875">
          <cell r="A2875">
            <v>2872</v>
          </cell>
          <cell r="B2875" t="str">
            <v>060.833.0437</v>
          </cell>
          <cell r="E2875" t="str">
            <v>Hialuronato de sodio. Solución estéril elasto-viscosa para aplicación intra-articular Cada ml contiene: Hialuronato de sodio 15 mg Caja o envase con 3 jeringas con 2 ml.</v>
          </cell>
          <cell r="U2875">
            <v>40</v>
          </cell>
          <cell r="V2875">
            <v>100</v>
          </cell>
        </row>
        <row r="2876">
          <cell r="A2876">
            <v>2873</v>
          </cell>
          <cell r="B2876" t="str">
            <v>060.833.0445</v>
          </cell>
          <cell r="E2876" t="str">
            <v>Hialuronato de sodio 10 mgEnvase con 1 jeringa prellenada con 60 mg/6 ml. Estéril</v>
          </cell>
          <cell r="U2876">
            <v>65300</v>
          </cell>
          <cell r="V2876">
            <v>163250</v>
          </cell>
        </row>
        <row r="2877">
          <cell r="A2877">
            <v>2874</v>
          </cell>
          <cell r="B2877" t="str">
            <v>060.833.0452</v>
          </cell>
          <cell r="E2877" t="str">
            <v>LIQUIDOS. PRESERVADOR DE CORNEA, QUE CONTIENE: DEXTRAN Y SULFATO DE GENTAMICINA.FRASCO CON 20 ML.</v>
          </cell>
          <cell r="U2877">
            <v>241</v>
          </cell>
          <cell r="V2877">
            <v>601</v>
          </cell>
        </row>
        <row r="2878">
          <cell r="A2878">
            <v>2875</v>
          </cell>
          <cell r="B2878" t="str">
            <v>060.837.0011</v>
          </cell>
          <cell r="E2878" t="str">
            <v>SUJETADORES . SUJETADORES PARA MASCARILLA DE VENTILADORES DE PRESIÓN POSITIVA. PIEZA.</v>
          </cell>
          <cell r="U2878">
            <v>12683</v>
          </cell>
          <cell r="V2878">
            <v>31704</v>
          </cell>
        </row>
        <row r="2879">
          <cell r="A2879">
            <v>2876</v>
          </cell>
          <cell r="B2879" t="str">
            <v>060.837.0029</v>
          </cell>
          <cell r="E2879" t="str">
            <v>SUJETADOR PARA CÁNULA. EL SUJETADOR DE CÁNULA CON GUÍA PARA SONDA GÁSTRICA. ESTÁ CONFORMADO POR UN CUERPO PRINCIPAL O MASCARILLA; MEDIOS DE SUJECIÓN TIPO HEMBRA-MACHO ENSAMBLADOS A DICHO CUERPO PRINCIPAL, LOS CUALES SOSTIENEN EN FORMA GRADUADA UNA CÁNULA ENDOTRAQUEAL, UN SUSTRATO DE APOYO QUE SE ENCUENTRA FIJO A LA SUPERFICIE POSTERIOR DEL CUERPO PRINCIPAL O MASCARILLA Y UNA CINTILLA, LA CUAL SE EXTIENDE ALREDEDOR Y POR DETRÁS DE LA CABEZA DE UN PACIENTE O USUARIO PARA MANTENER FIJO EL DISPOSITIVO SUJETADOR DE CÁNULA CON GUÍA PARA SONDA GÁSTRICA. ADEMÁS DE SER UTILIZADO PARA SUJETAR UNA CÁNULA ENDOTRAQUEAL, EL SUJETADOR PUEDE SER UTILIZADO PARA SUJETAR CUALQUIER OTRO DISPOSITIVO MÉDICO ÚTIL EN EL MANEJO DE LA VÍA AÉREA ORAL, COMO PUEDE SER UNA MASCARILLA LARÍNGEA. CONTIENE: UNA PIEZA HEMBRA DENTADA PARA RECIBIR UNA PIEZA MACHO DENTADA. UNA PIEZA MACHO DENTADA PARA SOSTENER LA CÁNULA MEDIANTE UN AJUSTE GRADUADO A LA PIEZA HEMBRA. UNA BANDA PARA SOSTENER ALREDEDOR DE LA CABEZA DEL PACIENTE EL SUJETADOR DE CÁNULA. PRESENTACIÓN -SUJETADOR DE CÁNULA CON GUÍA PARA SONDA GÁSTRICA, PRESENTACIÓN INDIVIDUAL, DESECHABLE, ATÓXICA, LIBRE DE PIRÓGENOS Y ESTÉRIL.</v>
          </cell>
          <cell r="U2879">
            <v>30445</v>
          </cell>
          <cell r="V2879">
            <v>76111</v>
          </cell>
        </row>
        <row r="2880">
          <cell r="A2880">
            <v>2877</v>
          </cell>
          <cell r="B2880" t="str">
            <v>060.841.0015</v>
          </cell>
          <cell r="E2880" t="str">
            <v>SUTURAS. SINTÉTICAS ABSORBIBLES POLÍMERO DE ÁCIDO GLICÓLICO TRENZADO CON AGUJA. LONGITUD DE LA HEBRA: 45 CM CALIBRE DE LA SUTURA: 7-0 CARACTERÍSTICAS DE LA AGUJA: 3/8 DE CÍRCULO DOBLE ARMADO ESPATULADA (6-6.5 MM)ENVASE CON 12 PIEZAS.</v>
          </cell>
          <cell r="U2880">
            <v>6971</v>
          </cell>
          <cell r="V2880">
            <v>17425</v>
          </cell>
        </row>
        <row r="2881">
          <cell r="A2881">
            <v>2878</v>
          </cell>
          <cell r="B2881" t="str">
            <v>060.841.0023</v>
          </cell>
          <cell r="E2881" t="str">
            <v>Suturas. Sintéticas absorbibles polímero de ácido glicólico trenzado con aguja. Longitud de la hebra: 45 cm Calibre de la sutura: 6-0 Características de la aguja: 1/4 de círculo doble armado espatulada (6-8.73 mm).Envase con 12 piezas.</v>
          </cell>
          <cell r="U2881">
            <v>5442</v>
          </cell>
          <cell r="V2881">
            <v>13603</v>
          </cell>
        </row>
        <row r="2882">
          <cell r="A2882">
            <v>2879</v>
          </cell>
          <cell r="B2882" t="str">
            <v>060.841.0031</v>
          </cell>
          <cell r="E2882" t="str">
            <v>SUTURAS. SINTÉTICAS ABSORBIBLES POLÍMERO DE ÁCIDO GLICÓLICO TRENZADO CON AGUJA. LONGITUD DE LA HEBRA: 45 CM CALIBRE DE LA SUTURA: 5-0 CARACTERÍSTICAS DE LA AGUJA: 1/4 DE CÍRCULO DOBLE ARMADO ESPATULADA (6-8.73 MM).ENVASE CON 12 PIEZAS.</v>
          </cell>
          <cell r="U2882">
            <v>5007</v>
          </cell>
          <cell r="V2882">
            <v>12516</v>
          </cell>
        </row>
        <row r="2883">
          <cell r="A2883">
            <v>2880</v>
          </cell>
          <cell r="B2883" t="str">
            <v>060.841.0049</v>
          </cell>
          <cell r="E2883" t="str">
            <v>SUTURAS. SINTÉTICAS NO ABSORBIBLES DE POLIÉSTER TRENZADO CON RECUBRIMIENTO CON AGUJA. LONGITUD DE LA HEBRA: 75 CM CALIBRE DE LA SUTURA: 2-0 CARACTERÍSTICAS DE LA AGUJA: 1/2 CÍRCULO AHUSADA (25-26 MM). ENVASE CON 12 PIEZAS.</v>
          </cell>
          <cell r="U2883">
            <v>5721</v>
          </cell>
          <cell r="V2883">
            <v>14302</v>
          </cell>
        </row>
        <row r="2884">
          <cell r="A2884">
            <v>2881</v>
          </cell>
          <cell r="B2884" t="str">
            <v>060.841.0072</v>
          </cell>
          <cell r="E2884" t="str">
            <v>SUTURAS. SINTÉTICAS NO ABSORBIBLES DE POLIÉSTER TRENZADO CON RECUBRIMIENTO CON AGUJA. LONGITUD DE LA HEBRA: 90 CM CALIBRE DE LA SUTURA: 3-0 CARACTERÍSTICAS DE LA AGUJA: 1/2 CÍRCULO DOBLE ARMADO AHUSADA (25-26 MM). ENVASE CON 12 PIEZAS.</v>
          </cell>
          <cell r="U2884">
            <v>102</v>
          </cell>
          <cell r="V2884">
            <v>253</v>
          </cell>
        </row>
        <row r="2885">
          <cell r="A2885">
            <v>2882</v>
          </cell>
          <cell r="B2885" t="str">
            <v>060.841.0080</v>
          </cell>
          <cell r="E2885" t="str">
            <v>SUTURAS. SINTÉTICAS NO ABSORBIBLES DE POLIÉSTER TRENZADO CON RECUBRIMIENTO CON AGUJA. LONGITUD DE LA HEBRA: 90 CM CALIBRE DE LA SUTURA: 5-0 CARACTERÍSTICAS DE LA AGUJA: 1/2 CÍRCULO DOBLE ARMADO AHUSADA (15-17 MM). ENVASE CON 12 PIEZAS.</v>
          </cell>
          <cell r="U2885">
            <v>84</v>
          </cell>
          <cell r="V2885">
            <v>206</v>
          </cell>
        </row>
        <row r="2886">
          <cell r="A2886">
            <v>2883</v>
          </cell>
          <cell r="B2886" t="str">
            <v>060.841.0130</v>
          </cell>
          <cell r="E2886" t="str">
            <v>SUTURAS. SINTÉTICAS NO ABSORBIBLES DE POLIÉSTER TRENZADO CON RECUBRIMIENTO CON AGUJA. LONGITUD DE LA HEBRA: 45 CM CALIBRE DE LA SUTURA: 5-0 CARACTERÍSTICAS DE LA AGUJA: 1/4 DE CÍRCULO DOBLE ARMADO ESPATULADA (7-9 MM). ENVASE CON 12 PIEZAS.</v>
          </cell>
          <cell r="U2886">
            <v>2695</v>
          </cell>
          <cell r="V2886">
            <v>6737</v>
          </cell>
        </row>
        <row r="2887">
          <cell r="A2887">
            <v>2884</v>
          </cell>
          <cell r="B2887" t="str">
            <v>060.841.0148</v>
          </cell>
          <cell r="E2887" t="str">
            <v>SUTURAS. SINTÉTICAS NO ABSORBIBLES MONOFILAMENTO DE POLIPROPILENO CON AGUJA. LONGITUD DE LA HEBRA: 45 CM CALIBRE DE LA SUTURA: 6-0 CARACTERÍSTICAS DE LA AGUJA: 3/8 DE CÍRCULO REVERSO CORTANTE (11-13 MM). ENVASE CON 12 PIEZAS</v>
          </cell>
          <cell r="U2887">
            <v>3799</v>
          </cell>
          <cell r="V2887">
            <v>9496</v>
          </cell>
        </row>
        <row r="2888">
          <cell r="A2888">
            <v>2885</v>
          </cell>
          <cell r="B2888" t="str">
            <v>060.841.0171</v>
          </cell>
          <cell r="E2888" t="str">
            <v>SUTURAS. SINTÉTICAS NO ABSORBIBLES MONOFILAMENTO DE POLIPROPILENO CON AGUJA. LONGITUD DE LA HEBRA: 45 CM CALIBRE DE LA SUTURA: 5-0 CARACTERÍSTICAS DE LA AGUJA: 3/8 DE CÍRCULO REVERSO CORTANTE (16-17 MM). ENVASE CON 12 PIEZAS.</v>
          </cell>
          <cell r="U2888">
            <v>8174</v>
          </cell>
          <cell r="V2888">
            <v>20434</v>
          </cell>
        </row>
        <row r="2889">
          <cell r="A2889">
            <v>2886</v>
          </cell>
          <cell r="B2889" t="str">
            <v>060.841.0197</v>
          </cell>
          <cell r="E2889" t="str">
            <v>Suturas. Sintéticas no absorbibles monofilamento de polipropileno con aguja. Longitud de la hebra: 45 cm Calibre de la sutura: 4-0 Características de la aguja: 3/8 de círculo reverso cortante (19-20 mm). Envase con 12 piezas.</v>
          </cell>
          <cell r="U2889">
            <v>22655</v>
          </cell>
          <cell r="V2889">
            <v>56635</v>
          </cell>
        </row>
        <row r="2890">
          <cell r="A2890">
            <v>2887</v>
          </cell>
          <cell r="B2890" t="str">
            <v>060.841.0205</v>
          </cell>
          <cell r="E2890" t="str">
            <v>Suturas. Sintéticas no absorbibles monofilamento de polipropileno con aguja. Longitud de la hebra: 45 cm Calibre de la sutura: 3-0 Características de la aguja: 3/8 de círculo reverso cortante (24-26 mm). Envase con 12 piezas.</v>
          </cell>
          <cell r="U2890">
            <v>47658</v>
          </cell>
          <cell r="V2890">
            <v>119145</v>
          </cell>
        </row>
        <row r="2891">
          <cell r="A2891">
            <v>2888</v>
          </cell>
          <cell r="B2891" t="str">
            <v>060.841.0221</v>
          </cell>
          <cell r="E2891" t="str">
            <v>Suturas. Sintéticas no absorbibles monofilamento de polipropileno con aguja. Longitud de la hebra: 45 cm Calibre de la sutura: 2-0 Características de la aguja: 3/8 de círculo reverso cortante (24-26 mm). Envase con 12 piezas.</v>
          </cell>
          <cell r="U2891">
            <v>84589</v>
          </cell>
          <cell r="V2891">
            <v>211470</v>
          </cell>
        </row>
        <row r="2892">
          <cell r="A2892">
            <v>2889</v>
          </cell>
          <cell r="B2892" t="str">
            <v>060.841.0239</v>
          </cell>
          <cell r="E2892" t="str">
            <v>SUTURAS. SINTÉTICAS NO ABSORBIBLES MONOFILAMENTO DE POLIPROPILENO CON AGUJA. LONGITUD DE LA HEBRA: 60 CM CALIBRE DE LA SUTURA: 7-0 CARACTERÍSTICAS DE LA AGUJA: 3/8 DE CÍRCULO DOBLE ARMADO AHUSADA (8-10 MM). ENVASE CON 12 PIEZAS.</v>
          </cell>
          <cell r="U2892">
            <v>5183</v>
          </cell>
          <cell r="V2892">
            <v>12955</v>
          </cell>
        </row>
        <row r="2893">
          <cell r="A2893">
            <v>2890</v>
          </cell>
          <cell r="B2893" t="str">
            <v>060.841.0254</v>
          </cell>
          <cell r="E2893" t="str">
            <v>Suturas. Sintéticas no absorbibles monofilamento de polipropileno con aguja. Longitud de la hebra: 75 cm Calibre de la sutura: 6-0 Características de la aguja: 3/8 de círculo doble armado ahusada (12-13 mm). Envase con 12 piezas.</v>
          </cell>
          <cell r="U2893">
            <v>9170</v>
          </cell>
          <cell r="V2893">
            <v>22923</v>
          </cell>
        </row>
        <row r="2894">
          <cell r="A2894">
            <v>2891</v>
          </cell>
          <cell r="B2894" t="str">
            <v>060.841.0262</v>
          </cell>
          <cell r="E2894" t="str">
            <v>Suturas. Sintéticas no absorbibles monofilamento de polipropileno con aguja. Longitud de la hebra: 90 cm Calibre de la sutura: 5-0 Características de la aguja: 1/2 círculo doble armado ahusada (15-17 mm) Envase con 12 piezas.</v>
          </cell>
          <cell r="U2894">
            <v>16600</v>
          </cell>
          <cell r="V2894">
            <v>41499</v>
          </cell>
        </row>
        <row r="2895">
          <cell r="A2895">
            <v>2892</v>
          </cell>
          <cell r="B2895" t="str">
            <v>060.841.0288</v>
          </cell>
          <cell r="E2895" t="str">
            <v>SUTURAS. SINTÉTICAS NO ABSORBIBLES MONOFILAMENTO DE POLIPROPILENO CON AGUJA. LONGITUD DE LA HEBRA: 90 CM CALIBRE DE LA SUTURA: 4-0 CARACTERÍSTICAS DE LA AGUJA: 1/2 CÍRCULO DOBLE ARMADO AHUSADA (15-17 MM). ENVASE CON 12 PIEZAS.</v>
          </cell>
          <cell r="U2895">
            <v>10593</v>
          </cell>
          <cell r="V2895">
            <v>26480</v>
          </cell>
        </row>
        <row r="2896">
          <cell r="A2896">
            <v>2893</v>
          </cell>
          <cell r="B2896" t="str">
            <v>060.841.0296</v>
          </cell>
          <cell r="E2896" t="str">
            <v>Suturas. Sintéticas no absorbibles monofilamento de polipropileno con aguja. Longitud de la hebra: 90 cm Calibre de la sutura: 3-0 Características de la aguja: 1/2 círculo doble armado ahusada (25-26 mm). Envase con 12 piezas.</v>
          </cell>
          <cell r="U2896">
            <v>16304</v>
          </cell>
          <cell r="V2896">
            <v>40757</v>
          </cell>
        </row>
        <row r="2897">
          <cell r="A2897">
            <v>2894</v>
          </cell>
          <cell r="B2897" t="str">
            <v>060.841.0312</v>
          </cell>
          <cell r="E2897" t="str">
            <v>Suturas. Sintéticas no absorbibles monofilamento de polipropileno con aguja. Longitud de la hebra: 90 cm Calibre de la sutura: 2-0 Características de la aguja: 1/2 círculo doble armado ahusada (25-26 mm). Envase con 12 piezas.</v>
          </cell>
          <cell r="U2897">
            <v>21092</v>
          </cell>
          <cell r="V2897">
            <v>52726</v>
          </cell>
        </row>
        <row r="2898">
          <cell r="A2898">
            <v>2895</v>
          </cell>
          <cell r="B2898" t="str">
            <v>060.841.0320</v>
          </cell>
          <cell r="E2898" t="str">
            <v>SUTURAS. SINTÉTICAS NO ABSORBIBLES MONOFILAMENTO DE NYLON CON AGUJA. LONGITUD DE LA HEBRA: 13 CM (NEGRO). CALIBRE DE LA SUTURA: 8-0 CARACTERÍSTICAS DE LA AGUJA: 3/8 DE CÍRCULO AHUSADA (6-7 MM) ENVASE CON 12 PIEZAS.</v>
          </cell>
          <cell r="U2898">
            <v>1868</v>
          </cell>
          <cell r="V2898">
            <v>4668</v>
          </cell>
        </row>
        <row r="2899">
          <cell r="A2899">
            <v>2896</v>
          </cell>
          <cell r="B2899" t="str">
            <v>060.841.0346</v>
          </cell>
          <cell r="E2899" t="str">
            <v>SUTURAS. SINTÉTICAS NO ABSORBIBLES MONOFILAMENTO DE NYLON CON AGUJA. LONGITUD DE LA HEBRA: 8 A 13 CM (NEGRO). CALIBRE DE LA SUTURA: 10-0 CARACTERÍSTICAS DE LA AGUJA: 3/8 DE CÍRCULO AHUSADA (4.7-6.5 MM) ENVASE CON 12 PIEZAS.</v>
          </cell>
          <cell r="U2899">
            <v>5021</v>
          </cell>
          <cell r="V2899">
            <v>12551</v>
          </cell>
        </row>
        <row r="2900">
          <cell r="A2900">
            <v>2897</v>
          </cell>
          <cell r="B2900" t="str">
            <v>060.841.0353</v>
          </cell>
          <cell r="E2900" t="str">
            <v>SUTURAS. SINTETICAS NO ABSORBIBLES MONOFILAMENTO DE NYLON CON AGUJA. LONGITUD DELA HEBRA: 8 A 13 CM (NEGRO). CALIBRE DE LA SUTURA: 9-0 CARACTERISTICAS DE LAAGUJA: 3/8 DE CIRCULO AHUSADA (4.7-6.5 MM) ENVASE CON 12 PIEZAS.</v>
          </cell>
          <cell r="U2900">
            <v>928</v>
          </cell>
          <cell r="V2900">
            <v>2317</v>
          </cell>
        </row>
        <row r="2901">
          <cell r="A2901">
            <v>2898</v>
          </cell>
          <cell r="B2901" t="str">
            <v>060.841.0361</v>
          </cell>
          <cell r="E2901" t="str">
            <v>SUTURAS SINTETICAS NO ABSORBIIBLES, MONOFILAMENTO DE NYLON, CON AGUJA.LONGITUDDE LA HEBRA. 13 CM (NEGRO) CALIBRE DE LA SUTURA. 11-0 CARACTERISTICAS DELAAGUJA. 3/8 DE CIRCULO, AHUSADA (3.7-5.0 MM). ENVASE CON 12 PIEZAS.</v>
          </cell>
          <cell r="U2901">
            <v>548</v>
          </cell>
          <cell r="V2901">
            <v>1366</v>
          </cell>
        </row>
        <row r="2902">
          <cell r="A2902">
            <v>2899</v>
          </cell>
          <cell r="B2902" t="str">
            <v>060.841.0395</v>
          </cell>
          <cell r="E2902" t="str">
            <v>SUTURAS. SINTETICAS ABSORBIBLES POLIMERO DE ACIDO GLICOLICO TRENZADO CON AGUJA.LONGITUD DE LA HEBRA: 67 CM CALIBRE DE LA SUTURA: 5-0 INCOLORO CARACTERISTICASDE LA AGUJA: 3/8 DE CIRCULO REVERSO CORTANTE (19-19.5 MM). ENVASE CON 12 PIEZAS.</v>
          </cell>
          <cell r="U2902">
            <v>342</v>
          </cell>
          <cell r="V2902">
            <v>852</v>
          </cell>
        </row>
        <row r="2903">
          <cell r="A2903">
            <v>2900</v>
          </cell>
          <cell r="B2903" t="str">
            <v>060.841.0403</v>
          </cell>
          <cell r="E2903" t="str">
            <v>SUTURAS. SINTETICAS ABSORBIBLES POLIMERO DE ACIDO GLICOLICO TRENZADO CON AGUJA.LONGITUD DE LA HEBRA: 67 CM CALIBRE DE LA SUTURA: 6-0 INCOLORO CARACTERISTICASDE LA AGUJA: 3/8 DE CIRCULO REVERSO CORTANTE (19-19.5 MM). ENVASE CON 12 PIEZAS.</v>
          </cell>
          <cell r="U2903">
            <v>188</v>
          </cell>
          <cell r="V2903">
            <v>468</v>
          </cell>
        </row>
        <row r="2904">
          <cell r="A2904">
            <v>2901</v>
          </cell>
          <cell r="B2904" t="str">
            <v>060.841.0445</v>
          </cell>
          <cell r="E2904" t="str">
            <v>Suturas. Sintéticas no absorbibles monofilamento de nylon con aguja. Longitud de la hebra: 45 cm Calibre de la sutura: 5-0 Características de la aguja: 3/8 de círculo reverso cortante (12-13 mm) Envase con 12 piezas.</v>
          </cell>
          <cell r="U2904">
            <v>38486</v>
          </cell>
          <cell r="V2904">
            <v>96213</v>
          </cell>
        </row>
        <row r="2905">
          <cell r="A2905">
            <v>2902</v>
          </cell>
          <cell r="B2905" t="str">
            <v>060.841.0452</v>
          </cell>
          <cell r="E2905" t="str">
            <v>Suturas. Sintéticas no absorbibles monofilamento de polipropileno con aguja. Longitud de la hebra: 90 cm Calibre de la sutura: 2-0 Características de la aguja: 1/2 círculo punta ahusada (15-17 mm). Envase con 12 piezas.</v>
          </cell>
          <cell r="U2905">
            <v>22258</v>
          </cell>
          <cell r="V2905">
            <v>55643</v>
          </cell>
        </row>
        <row r="2906">
          <cell r="A2906">
            <v>2903</v>
          </cell>
          <cell r="B2906" t="str">
            <v>060.841.0460</v>
          </cell>
          <cell r="E2906" t="str">
            <v>Suturas. Sintéticas no absorbibles monofilamento de nylon con aguja. Longitud de la hebra: 45 cm Calibre de la sutura: 4-0 Características de la aguja: 3/8 de círculo reverso cortante (12-13 mm) Envase con 12 piezas.</v>
          </cell>
          <cell r="U2906">
            <v>67952</v>
          </cell>
          <cell r="V2906">
            <v>169878</v>
          </cell>
        </row>
        <row r="2907">
          <cell r="A2907">
            <v>2904</v>
          </cell>
          <cell r="B2907" t="str">
            <v>060.841.0478</v>
          </cell>
          <cell r="E2907" t="str">
            <v>Suturas. Sintéticas no absorbibles monofilamento de nylon con aguja. Longitud de la hebra: 45 cm Calibre de la sutura: 3-0 Características de la aguja: 3/8 de círculo cortante (19-26 mm) Envase con 12 piezas.</v>
          </cell>
          <cell r="U2907">
            <v>304492</v>
          </cell>
          <cell r="V2907">
            <v>761228</v>
          </cell>
        </row>
        <row r="2908">
          <cell r="A2908">
            <v>2905</v>
          </cell>
          <cell r="B2908" t="str">
            <v>060.841.0486</v>
          </cell>
          <cell r="E2908" t="str">
            <v>Suturas. Sintéticas no absorbibles monofilamento de nylon con aguja. Longitud de la hebra: 45 cm Calibre de la sutura: 2-0 Características de la aguja: 3/8 de círculo cortante (19-26 mm).Envase con 12 piezas.</v>
          </cell>
          <cell r="U2908">
            <v>362137</v>
          </cell>
          <cell r="V2908">
            <v>905339</v>
          </cell>
        </row>
        <row r="2909">
          <cell r="A2909">
            <v>2906</v>
          </cell>
          <cell r="B2909" t="str">
            <v>060.841.0510</v>
          </cell>
          <cell r="E2909" t="str">
            <v>SUTURAS SINTETICAS NO ABSORBIBLES MONOFILAMENTO DE ACERO, CON AGUJA. LONGITUD DELA HEBRA. 45 CM CALIBRE DE LA SUTURA. 5 CARACTERISTICAS DE LA AGUJA. 1/2CIRCULO,CORTANTE (48 MM). ENVASE CON 12 PIEZAS.</v>
          </cell>
          <cell r="U2909">
            <v>565</v>
          </cell>
          <cell r="V2909">
            <v>1409</v>
          </cell>
        </row>
        <row r="2910">
          <cell r="A2910">
            <v>2907</v>
          </cell>
          <cell r="B2910" t="str">
            <v>060.841.0551</v>
          </cell>
          <cell r="E2910" t="str">
            <v>Suturas. Catgut crómico con aguja. Longitud de la hebra: 68 a 75 cm. Calibre de la sutura: 2-0 Características de la aguja: 1/2 círculo ahusada (35-37 mm).Envase con 12 piezas.</v>
          </cell>
          <cell r="U2910">
            <v>136000</v>
          </cell>
          <cell r="V2910">
            <v>339997</v>
          </cell>
        </row>
        <row r="2911">
          <cell r="A2911">
            <v>2908</v>
          </cell>
          <cell r="B2911" t="str">
            <v>060.841.0569</v>
          </cell>
          <cell r="E2911" t="str">
            <v>Suturas. Catgut crómico con aguja. Longitud de la hebra: 68 a 75 cm Calibre de la sutura: 1 Características de la aguja: 1/2 círculo ahusada (35-37 mm). Envase con 12 piezas.</v>
          </cell>
          <cell r="U2911">
            <v>183158</v>
          </cell>
          <cell r="V2911">
            <v>457894</v>
          </cell>
        </row>
        <row r="2912">
          <cell r="A2912">
            <v>2909</v>
          </cell>
          <cell r="B2912" t="str">
            <v>060.841.0585</v>
          </cell>
          <cell r="E2912" t="str">
            <v>Suturas. Catgut crómico con aguja. Longitud de la hebra: 30 cm Calibre de la sutura: 4-0 Características de la aguja: 1/2 círculo doble armado reverso cortante (12-13 mm). Envase con 12 piezas.</v>
          </cell>
          <cell r="U2912">
            <v>20727</v>
          </cell>
          <cell r="V2912">
            <v>51815</v>
          </cell>
        </row>
        <row r="2913">
          <cell r="A2913">
            <v>2910</v>
          </cell>
          <cell r="B2913" t="str">
            <v>060.841.0593</v>
          </cell>
          <cell r="E2913" t="str">
            <v>SUTURAS. CATGUT CRÓMICO CON AGUJA. LONGITUD DE LA HEBRA: 45 CM CALIBRE DE LA SUTURA: 6-0 CARACTERÍSTICAS DE LA AGUJA: 3/8 DE CÍRCULO DE DOBLE ARMADO REVERSO CORTANTE (11-13 MM). ENVASE CON 12 PIEZAS.</v>
          </cell>
          <cell r="U2913">
            <v>72</v>
          </cell>
          <cell r="V2913">
            <v>180</v>
          </cell>
        </row>
        <row r="2914">
          <cell r="A2914">
            <v>2911</v>
          </cell>
          <cell r="B2914" t="str">
            <v>060.841.0601</v>
          </cell>
          <cell r="E2914" t="str">
            <v>Suturas. Seda negra trenzada con aguja. Longitud de la hebra: 75 cm Calibre de la sutura: 5-0 Características de la aguja: 1/2 círculo ahusada (20-25 mm). Envase con 12 piezas.</v>
          </cell>
          <cell r="U2914">
            <v>3074</v>
          </cell>
          <cell r="V2914">
            <v>7684</v>
          </cell>
        </row>
        <row r="2915">
          <cell r="A2915">
            <v>2912</v>
          </cell>
          <cell r="B2915" t="str">
            <v>060.841.0619</v>
          </cell>
          <cell r="E2915" t="str">
            <v>Suturas. Seda negra trenzada con aguja. Longitud de la hebra: 75 cm Calibre de la sutura: 3-0 Características de la aguja: 1/2 círculo ahusada (25-26 mm). Envase con 12 piezas.</v>
          </cell>
          <cell r="U2915">
            <v>62871</v>
          </cell>
          <cell r="V2915">
            <v>157177</v>
          </cell>
        </row>
        <row r="2916">
          <cell r="A2916">
            <v>2913</v>
          </cell>
          <cell r="B2916" t="str">
            <v>060.841.0627</v>
          </cell>
          <cell r="E2916" t="str">
            <v>Suturas. Seda negra trenzada con aguja. Longitud de la hebra: 75 cm Calibre de la sutura: 2-0 Características de la aguja: 1/2 círculo ahusada (25-26 mm). Envase con 12 piezas.</v>
          </cell>
          <cell r="U2916">
            <v>59914</v>
          </cell>
          <cell r="V2916">
            <v>149783</v>
          </cell>
        </row>
        <row r="2917">
          <cell r="A2917">
            <v>2914</v>
          </cell>
          <cell r="B2917" t="str">
            <v>060.841.0643</v>
          </cell>
          <cell r="E2917" t="str">
            <v>Suturas. Seda negra trenzada con aguja. Longitud de la hebra: 75 cm Calibre de la sutura: 2-0 Características de la aguja: 1/2 círculo ahusada (35-37 mm). Envase con 12 piezas.</v>
          </cell>
          <cell r="U2917">
            <v>13202</v>
          </cell>
          <cell r="V2917">
            <v>33004</v>
          </cell>
        </row>
        <row r="2918">
          <cell r="A2918">
            <v>2915</v>
          </cell>
          <cell r="B2918" t="str">
            <v>060.841.0692</v>
          </cell>
          <cell r="E2918" t="str">
            <v>SUTURAS. SEDA NEGRA TRENZADA CON AGUJA. LONGITUD DE LA HEBRA: 45 CM CALIBRE DE LA SUTURA: 6-0 CARACTERÍSTICAS DE LA AGUJA: 3/8 DE CÍRCULO REVERSO CORTANTE (11-13 MM). ENVASE CON 12 PIEZAS.</v>
          </cell>
          <cell r="U2918">
            <v>24</v>
          </cell>
          <cell r="V2918">
            <v>57</v>
          </cell>
        </row>
        <row r="2919">
          <cell r="A2919">
            <v>2916</v>
          </cell>
          <cell r="B2919" t="str">
            <v>060.841.0700</v>
          </cell>
          <cell r="E2919" t="str">
            <v>SUTURAS. SEDA NEGRA TRENZADA CON AGUJA. LONGITUD DE LA HEBRA: 45 CM CALIBRE DE LA SUTURA: 4-0 CARACTERÍSTICAS DE LA AGUJA: 3/8 DE CÍRCULO DOBLE ARMADO REVERSO CORTANTE (12-13 MM). ENVASE CON 12 PIEZAS.</v>
          </cell>
          <cell r="U2919">
            <v>721</v>
          </cell>
          <cell r="V2919">
            <v>1800</v>
          </cell>
        </row>
        <row r="2920">
          <cell r="A2920">
            <v>2917</v>
          </cell>
          <cell r="B2920" t="str">
            <v>060.841.0718</v>
          </cell>
          <cell r="E2920" t="str">
            <v>SUTURAS. SEDA NEGRA TRENZADA SIN AGUJA. LONGITUD DE LA HEBRA: 75 CM CALIBRE DE LA SUTURA: 4-0 SOBRE CON 7 A 12 HEBRAS. ENVASE CON 12 SOBRES.</v>
          </cell>
          <cell r="U2920">
            <v>3562</v>
          </cell>
          <cell r="V2920">
            <v>8903</v>
          </cell>
        </row>
        <row r="2921">
          <cell r="A2921">
            <v>2918</v>
          </cell>
          <cell r="B2921" t="str">
            <v>060.841.0734</v>
          </cell>
          <cell r="E2921" t="str">
            <v>Suturas. Seda negra trenzada sin aguja. Longitud de la hebra: 75 cm Calibre de la sutura: 3-0 Sobre con 7 a 12 hebras. Envase con 12 sobres.</v>
          </cell>
          <cell r="U2921">
            <v>29386</v>
          </cell>
          <cell r="V2921">
            <v>73462</v>
          </cell>
        </row>
        <row r="2922">
          <cell r="A2922">
            <v>2919</v>
          </cell>
          <cell r="B2922" t="str">
            <v>060.841.0742</v>
          </cell>
          <cell r="E2922" t="str">
            <v>Suturas. Seda negra trenzada sin aguja. Longitud de la hebra: 75 cm Calibre de la sutura: 2-0 Sobre con 7 a 12 hebras. Envase con 12 sobres.</v>
          </cell>
          <cell r="U2922">
            <v>46826</v>
          </cell>
          <cell r="V2922">
            <v>117062</v>
          </cell>
        </row>
        <row r="2923">
          <cell r="A2923">
            <v>2920</v>
          </cell>
          <cell r="B2923" t="str">
            <v>060.841.0767</v>
          </cell>
          <cell r="E2923" t="str">
            <v>Suturas. Seda negra trenzada sin aguja. Longitud de la hebra: 75 cm Calibre de la sutura: 0 Sobre con 7 a 12 hebras. Envase con 12 sobres.</v>
          </cell>
          <cell r="U2923">
            <v>24345</v>
          </cell>
          <cell r="V2923">
            <v>60861</v>
          </cell>
        </row>
        <row r="2924">
          <cell r="A2924">
            <v>2921</v>
          </cell>
          <cell r="B2924" t="str">
            <v>060.841.0775</v>
          </cell>
          <cell r="E2924" t="str">
            <v>Suturas. Seda negra trenzada sin aguja. Longitud de la hebra: 75 cm Calibre de la sutura: 1 Sobre con 7 a 12 hebras. Envase con 12 sobres.</v>
          </cell>
          <cell r="U2924">
            <v>28841</v>
          </cell>
          <cell r="V2924">
            <v>72102</v>
          </cell>
        </row>
        <row r="2925">
          <cell r="A2925">
            <v>2922</v>
          </cell>
          <cell r="B2925" t="str">
            <v>060.841.0825</v>
          </cell>
          <cell r="E2925" t="str">
            <v>Suturas. Sintéticas absorbibles polímero de ácido glicólico trenzado con aguja. Longitud de la hebra: 67-75 cm Calibre de la sutura: 5-0 Características de la aguja: 1/2 círculo ahusada (15-20 mm).Envase con 12 piezas.</v>
          </cell>
          <cell r="U2925">
            <v>7872</v>
          </cell>
          <cell r="V2925">
            <v>19678</v>
          </cell>
        </row>
        <row r="2926">
          <cell r="A2926">
            <v>2923</v>
          </cell>
          <cell r="B2926" t="str">
            <v>060.841.0833</v>
          </cell>
          <cell r="E2926" t="str">
            <v>Suturas. Sintéticas absorbibles polímero de ácido glicólico trenzado con aguja. Longitud de la hebra: 67-70 cm Calibre de la sutura: 4-0 Características de la aguja: 1/2 círculo ahusada (25-26 mm). Envase con 12 piezas.</v>
          </cell>
          <cell r="U2926">
            <v>27647</v>
          </cell>
          <cell r="V2926">
            <v>69114</v>
          </cell>
        </row>
        <row r="2927">
          <cell r="A2927">
            <v>2924</v>
          </cell>
          <cell r="B2927" t="str">
            <v>060.841.0858</v>
          </cell>
          <cell r="E2927" t="str">
            <v>SUTURAS. SINTETICAS ABSORBIBLES POLIMERO DE ACIDO GLICOLICO TRENZADO CON AGUJA.LONGITUD DE LA HEBRA: 67-70 CM CALIBRE DE LA SUTURA: 3-0 CARACTERISTICAS DE LAAGUJA: 1/2 CIRCULO AHUSADA (25-26 MM). ENVASE CON 12 PIEZAS.</v>
          </cell>
          <cell r="U2927">
            <v>75569</v>
          </cell>
          <cell r="V2927">
            <v>188920</v>
          </cell>
        </row>
        <row r="2928">
          <cell r="A2928">
            <v>2925</v>
          </cell>
          <cell r="B2928" t="str">
            <v>060.841.0866</v>
          </cell>
          <cell r="E2928" t="str">
            <v>Suturas. Sintéticas absorbibles polímero de ácido glicólico trenzado con aguja. Longitud de la hebra: 67-70 cm Calibre de la sutura: 2-0 Características de la aguja: 1/2 círculo ahusada (25-26 mm) Envase con 12 piezas.</v>
          </cell>
          <cell r="U2928">
            <v>198415</v>
          </cell>
          <cell r="V2928">
            <v>496036</v>
          </cell>
        </row>
        <row r="2929">
          <cell r="A2929">
            <v>2926</v>
          </cell>
          <cell r="B2929" t="str">
            <v>060.841.0882</v>
          </cell>
          <cell r="E2929" t="str">
            <v>Suturas. Sintéticas absorbibles polímero de ácido glicólico trenzado con aguja. Longitud de la hebra: 67-70 cm Calibre de la sutura: 1 Características de la aguja: 1/2 círculo ahusada (35-37 mm)Envase con 12 piezas.</v>
          </cell>
          <cell r="U2929">
            <v>407311</v>
          </cell>
          <cell r="V2929">
            <v>1018276</v>
          </cell>
        </row>
        <row r="2930">
          <cell r="A2930">
            <v>2927</v>
          </cell>
          <cell r="B2930" t="str">
            <v>060.841.0890</v>
          </cell>
          <cell r="E2930" t="str">
            <v>Suturas. Sintéticas absorbibles polímero de ácido glicólico trenzado con aguja. Longitud de la hebra: 67-70 cm Calibre de la sutura: 0 Características de la aguja: 1/2 círculo ahusada (35-37 mm).Envase con 12 piezas.</v>
          </cell>
          <cell r="U2930">
            <v>95880</v>
          </cell>
          <cell r="V2930">
            <v>239698</v>
          </cell>
        </row>
        <row r="2931">
          <cell r="A2931">
            <v>2928</v>
          </cell>
          <cell r="B2931" t="str">
            <v>060.841.0916</v>
          </cell>
          <cell r="E2931" t="str">
            <v>Suturas. Sintéticas absorbibles polímero de ácido glicólico trenzado con aguja. Longitud de la hebra: 67-70 cm Calibre de la sutura: 2-0 Características de la aguja: 1/2 círculo ahusada (35-37 mm). Envase con 12 piezas.</v>
          </cell>
          <cell r="U2931">
            <v>6552</v>
          </cell>
          <cell r="V2931">
            <v>16380</v>
          </cell>
        </row>
        <row r="2932">
          <cell r="A2932">
            <v>2929</v>
          </cell>
          <cell r="B2932" t="str">
            <v>060.841.0924</v>
          </cell>
          <cell r="E2932" t="str">
            <v>Suturas. Sintéticas absorbibles polímero de ácido glicólico trenzado con aguja. Longitud de la hebra: 67 cm Calibre de la sutura: 4-0 Características de la aguja: 3/8 de círculo reverso cortante (19-19.5 mm).Envase con 12 piezas.</v>
          </cell>
          <cell r="U2932">
            <v>25780</v>
          </cell>
          <cell r="V2932">
            <v>64449</v>
          </cell>
        </row>
        <row r="2933">
          <cell r="A2933">
            <v>2930</v>
          </cell>
          <cell r="B2933" t="str">
            <v>060.841.0973</v>
          </cell>
          <cell r="E2933" t="str">
            <v>SUTURAS. SINTÉTICAS ABSORBIBLES POLÍMERO DE ÁCIDO GLICÓLICO TRENZADO CON AGUJA. LONGITUD DE LA HEBRA: 67 CM CALIBRE DE LA SUTURA: 3-0 CARACTERÍSTICAS DE LA AGUJA: 3/8 DE CÍRCULO REVERSO CORTANTE (24 MM).ENVASE CON 12 PIEZAS.</v>
          </cell>
          <cell r="U2933">
            <v>1815</v>
          </cell>
          <cell r="V2933">
            <v>4537</v>
          </cell>
        </row>
        <row r="2934">
          <cell r="A2934">
            <v>2931</v>
          </cell>
          <cell r="B2934" t="str">
            <v>060.841.0981</v>
          </cell>
          <cell r="E2934" t="str">
            <v>Suturas. Sintéticas no absorbibles monofilamento de polipropileno con aguja. Longitud de la hebra: 75 cm Calibre de la sutura: 2-0 Características de la aguja: recta cortante (60 mm). Envase con 12 piezas.</v>
          </cell>
          <cell r="U2934">
            <v>13748</v>
          </cell>
          <cell r="V2934">
            <v>34367</v>
          </cell>
        </row>
        <row r="2935">
          <cell r="A2935">
            <v>2932</v>
          </cell>
          <cell r="B2935" t="str">
            <v>060.841.1161</v>
          </cell>
          <cell r="E2935" t="str">
            <v>SUTURAS. SINTÉTICAS ABSORBIBLES. MONOFILAMENTO DE POLIDIOXANONA CON AGUJA. LONGITUD DE LA HEBRA: 45 CM CALIBRE DE LA SUTURA: 4-0 CARACTERÍSTICAS DE LA AGUJA: 3/8 CÍRCULO PUNTA AHUSADA O DE PRECISIÓN (19 MM). ENVASE CON 12 PIEZAS.</v>
          </cell>
          <cell r="U2935">
            <v>2099</v>
          </cell>
          <cell r="V2935">
            <v>5246</v>
          </cell>
        </row>
        <row r="2936">
          <cell r="A2936">
            <v>2933</v>
          </cell>
          <cell r="B2936" t="str">
            <v>060.841.1211</v>
          </cell>
          <cell r="E2936" t="str">
            <v>Suturas. Sintéticas no absorbibles de poliéster trenzado con recubrimiento con aguja. Longitud de la hebra: 75 cm Calibre de la sutura: 5 Características de la aguja: 1/2 círculo cortante (47-50 mm). Envase con 12 piezas.</v>
          </cell>
          <cell r="U2936">
            <v>6589</v>
          </cell>
          <cell r="V2936">
            <v>16470</v>
          </cell>
        </row>
        <row r="2937">
          <cell r="A2937">
            <v>2934</v>
          </cell>
          <cell r="B2937" t="str">
            <v>060.841.1336</v>
          </cell>
          <cell r="E2937" t="str">
            <v>Suturas. Sintéticas no absorbibles de poliéster trenzado con recubrimiento con aguja. Longitud de la hebra: 75 cm Calibre de la sutura: 2 Características de la aguja: 1/2 círculo cortante (40-45 mm). Envase con 12 piezas.</v>
          </cell>
          <cell r="U2937">
            <v>10826</v>
          </cell>
          <cell r="V2937">
            <v>27065</v>
          </cell>
        </row>
        <row r="2938">
          <cell r="A2938">
            <v>2935</v>
          </cell>
          <cell r="B2938" t="str">
            <v>060.841.1344</v>
          </cell>
          <cell r="E2938" t="str">
            <v>Suturas. Sintéticas absorbibles. Monofilamento de polidioxanona con aguja. Longitud de la hebra: 70 cm Calibre de la sutura: 3-0 Características de la aguja: 1/2 círculo punta ahusada (25-30 mm). Envase con 12 piezas.</v>
          </cell>
          <cell r="U2938">
            <v>4172</v>
          </cell>
          <cell r="V2938">
            <v>10429</v>
          </cell>
        </row>
        <row r="2939">
          <cell r="A2939">
            <v>2936</v>
          </cell>
          <cell r="B2939" t="str">
            <v>060.841.1393</v>
          </cell>
          <cell r="E2939" t="str">
            <v>Suturas. Catgut simple con aguja.Longitud de la hebra: 68 a 75 cm Calibre de la sutura: 2-0 Características de la aguja: 1/2 círculo ahusada Envase con 12 piezas.</v>
          </cell>
          <cell r="U2939">
            <v>316</v>
          </cell>
          <cell r="V2939">
            <v>789</v>
          </cell>
        </row>
        <row r="2940">
          <cell r="A2940">
            <v>2937</v>
          </cell>
          <cell r="B2940" t="str">
            <v>060.841.1435</v>
          </cell>
          <cell r="E2940" t="str">
            <v>SUTURAS. SINTÉTICAS ABSORBIBLES. MONOFILAMENTO DE POLIDIOXANONA CON AGUJA. LONGITUD DE LA HEBRA: 70 CM CALIBRE DE LA SUTURA: 4-0 CARACTERÍSTICAS DE LA AGUJA: 1/2 CÍRCULO PUNTA AHUSADA (25-30 MM). ENVASE CON 12 PIEZAS.</v>
          </cell>
          <cell r="U2940">
            <v>2674</v>
          </cell>
          <cell r="V2940">
            <v>6683</v>
          </cell>
        </row>
        <row r="2941">
          <cell r="A2941">
            <v>2938</v>
          </cell>
          <cell r="B2941" t="str">
            <v>060.841.1559</v>
          </cell>
          <cell r="E2941" t="str">
            <v>Suturas. Sintéticas absorbibles. Monofilamento de polidioxanona con aguja. Longitud de la hebra: 70 cm Calibre de la sutura: 1 Características de la aguja: 1/2 círculo punta ahusada (35-40 mm). Envase con 12 piezas.</v>
          </cell>
          <cell r="U2941">
            <v>8968</v>
          </cell>
          <cell r="V2941">
            <v>22416</v>
          </cell>
        </row>
        <row r="2942">
          <cell r="A2942">
            <v>2939</v>
          </cell>
          <cell r="B2942" t="str">
            <v>060.841.1914</v>
          </cell>
          <cell r="E2942" t="str">
            <v>Suturas. Seda negra trenzada con aguja. Longitud de la hebra: 75 cm Calibre de la sutura: 4-0 Características de la aguja: 1/2 círculo ahusada (20-25 mm). Envase con 12 piezas.</v>
          </cell>
          <cell r="U2942">
            <v>6323</v>
          </cell>
          <cell r="V2942">
            <v>15804</v>
          </cell>
        </row>
        <row r="2943">
          <cell r="A2943">
            <v>2940</v>
          </cell>
          <cell r="B2943" t="str">
            <v>060.841.1948</v>
          </cell>
          <cell r="E2943" t="str">
            <v>Suturas. Seda negra trenzada con aguja. Longitud de la hebra: 75 cm Calibre de la sutura: 1 Características de la aguja: 1/2 círculo ahusada (35-37 mm). Envase con 12 piezas.</v>
          </cell>
          <cell r="U2943">
            <v>27656</v>
          </cell>
          <cell r="V2943">
            <v>69139</v>
          </cell>
        </row>
        <row r="2944">
          <cell r="A2944">
            <v>2941</v>
          </cell>
          <cell r="B2944" t="str">
            <v>060.841.1955</v>
          </cell>
          <cell r="E2944" t="str">
            <v>Suturas. Seda negra trenzada con aguja. Longitud de la hebra: 75 cm Calibre de la sutura: 0 Características de la aguja: 1/2 círculo ahusada (25-26 mm). Envase con 12 piezas.</v>
          </cell>
          <cell r="U2944">
            <v>25063</v>
          </cell>
          <cell r="V2944">
            <v>62655</v>
          </cell>
        </row>
        <row r="2945">
          <cell r="A2945">
            <v>2942</v>
          </cell>
          <cell r="B2945" t="str">
            <v>060.841.2045</v>
          </cell>
          <cell r="E2945" t="str">
            <v>Suturas. Sintéticas absorbibles. Monofilamento de polidioxanona con aguja. Longitud de la hebra: 70 cm Calibre de la sutura: 0 Características de la aguja: 1/2 círculo punta ahusada (35-40 mm). Envase con 12 piezas.</v>
          </cell>
          <cell r="U2945">
            <v>6663</v>
          </cell>
          <cell r="V2945">
            <v>16656</v>
          </cell>
        </row>
        <row r="2946">
          <cell r="A2946">
            <v>2943</v>
          </cell>
          <cell r="B2946" t="str">
            <v>060.841.2268</v>
          </cell>
          <cell r="E2946" t="str">
            <v>Suturas. Sintéticas no absorbibles monofilamento de nylon con aguja. Longitud de la hebra: 45 cm Calibre de la sutura: 6-0 Características de la aguja: 3/8 de círculo reverso cortante (10-13 mm) Envase con 12 piezas.</v>
          </cell>
          <cell r="U2946">
            <v>8232</v>
          </cell>
          <cell r="V2946">
            <v>20576</v>
          </cell>
        </row>
        <row r="2947">
          <cell r="A2947">
            <v>2944</v>
          </cell>
          <cell r="B2947" t="str">
            <v>060.841.2276</v>
          </cell>
          <cell r="E2947" t="str">
            <v>SUTURAS. SINTÉTICAS ABSORBIBLES. MONOFILAMENTO DE POLIDIOXANONA CON AGUJA. LONGITUD DE LA HEBRA: 70 CM CALIBRE DE LA SUTURA: 3-0 CARACTERÍSTICAS DE LA AGUJA: 1/2 CÍRCULO PUNTA AHUSADA (35-40 MM). ENVASE CON 12 PIEZAS.</v>
          </cell>
          <cell r="U2947">
            <v>3403</v>
          </cell>
          <cell r="V2947">
            <v>8504</v>
          </cell>
        </row>
        <row r="2948">
          <cell r="A2948">
            <v>2945</v>
          </cell>
          <cell r="B2948" t="str">
            <v>060.841.2441</v>
          </cell>
          <cell r="E2948" t="str">
            <v>Suturas. Monofilamento nylon con aguja de 1/2 círculo punta espatulada doble armado (6 mm) calibre 10-0 longitud de la hebra 30-45 cm. Envase con 12 Piezas.</v>
          </cell>
          <cell r="U2948">
            <v>12544</v>
          </cell>
          <cell r="V2948">
            <v>31358</v>
          </cell>
        </row>
        <row r="2949">
          <cell r="A2949">
            <v>2946</v>
          </cell>
          <cell r="B2949" t="str">
            <v>060.841.2565</v>
          </cell>
          <cell r="E2949" t="str">
            <v>Suturas. Catgut crómico con aguja. Longitud de la hebra: 68 cm Calibre de la sutura: 5-0 Características de la aguja: 1/2 círculo ahusada (19-20 mm). Envase con 12 piezas.</v>
          </cell>
          <cell r="U2949">
            <v>2012</v>
          </cell>
          <cell r="V2949">
            <v>5028</v>
          </cell>
        </row>
        <row r="2950">
          <cell r="A2950">
            <v>2947</v>
          </cell>
          <cell r="B2950" t="str">
            <v>060.841.2623</v>
          </cell>
          <cell r="E2950" t="str">
            <v>Suturas. Catgut crómico con aguja. Longitud de la hebra: 68 a 75 cm. Calibre de la sutura: 0 Características de la aguja: 1/2 círculo ahusada (35-37 mm). Envase con 12 piezas.</v>
          </cell>
          <cell r="U2950">
            <v>122576</v>
          </cell>
          <cell r="V2950">
            <v>306437</v>
          </cell>
        </row>
        <row r="2951">
          <cell r="A2951">
            <v>2948</v>
          </cell>
          <cell r="B2951" t="str">
            <v>060.841.3282</v>
          </cell>
          <cell r="E2951" t="str">
            <v>SUTURAS. CATGUT CRÓMICO CON AGUJA. LONGITUD DE LA HEBRA: 0 30 CM. CALIBRE DE LA SUTURA: 4-0 CARACTERÍSTICAS DE LA AGUJA: 1/4 CÍRCULO DOBLE ARMADO ESPATULADA DE (7-9.5 MM). ENVASE CON 12 PIEZAS.</v>
          </cell>
          <cell r="U2951">
            <v>101</v>
          </cell>
          <cell r="V2951">
            <v>250</v>
          </cell>
        </row>
        <row r="2952">
          <cell r="A2952">
            <v>2949</v>
          </cell>
          <cell r="B2952" t="str">
            <v>060.841.3845</v>
          </cell>
          <cell r="E2952" t="str">
            <v>SUTURAS. SINTÉTICAS NO ABSORBIBLES MONOFILAMENTO DE POLIPROPILENO CON AGUJA. LONGITUD DE LA HEBRA: 75 CM CALIBRE DE LA SUTURA: 4-0 CARACTERÍSTICAS DE LA AGUJA: RECTA CORTANTE (60 MM). ENVASE CON 12 PIEZAS.</v>
          </cell>
          <cell r="U2952">
            <v>5116</v>
          </cell>
          <cell r="V2952">
            <v>12786</v>
          </cell>
        </row>
        <row r="2953">
          <cell r="A2953">
            <v>2950</v>
          </cell>
          <cell r="B2953" t="str">
            <v>060.841.3894</v>
          </cell>
          <cell r="E2953" t="str">
            <v>Suturas. Sintéticas no absorbibles monofilamento de polipropileno con aguja. Longitud de la hebra: 45 cm Calibre de la sutura: 0 Características de la aguja: 3/8 de círculo reverso cortante (24-26 mm). Envase con 12 piezas.</v>
          </cell>
          <cell r="U2953">
            <v>14076</v>
          </cell>
          <cell r="V2953">
            <v>35188</v>
          </cell>
        </row>
        <row r="2954">
          <cell r="A2954">
            <v>2951</v>
          </cell>
          <cell r="B2954" t="str">
            <v>060.841.4231</v>
          </cell>
          <cell r="E2954" t="str">
            <v>Suturas. Catgut simple sin aguja. Longitud de la hebra: 135-150 cm Calibre de la sutura: 2-0 Envase con 12 piezas.</v>
          </cell>
          <cell r="U2954">
            <v>11599</v>
          </cell>
          <cell r="V2954">
            <v>28997</v>
          </cell>
        </row>
        <row r="2955">
          <cell r="A2955">
            <v>2952</v>
          </cell>
          <cell r="B2955" t="str">
            <v>060.841.4249</v>
          </cell>
          <cell r="E2955" t="str">
            <v>Suturas. Catgut simple sin aguja. Longitud de la hebra: 135-150 cm Calibre de la sutura: 3-0 Envase con 12 piezas.</v>
          </cell>
          <cell r="U2955">
            <v>8590</v>
          </cell>
          <cell r="V2955">
            <v>21475</v>
          </cell>
        </row>
        <row r="2956">
          <cell r="A2956">
            <v>2953</v>
          </cell>
          <cell r="B2956" t="str">
            <v>060.841.4264</v>
          </cell>
          <cell r="E2956" t="str">
            <v>Suturas. Catgut simple con aguja.Longitud de la hebra: 68 a 75 cm Calibre de la sutura: 3-0 Características de la aguja: (25-27 mm). Envase con 12 piezas.</v>
          </cell>
          <cell r="U2956">
            <v>86</v>
          </cell>
          <cell r="V2956">
            <v>212</v>
          </cell>
        </row>
        <row r="2957">
          <cell r="A2957">
            <v>2954</v>
          </cell>
          <cell r="B2957" t="str">
            <v>060.841.4371</v>
          </cell>
          <cell r="E2957" t="str">
            <v>SUTURAS. CATGUT CRÓMICO CON AGUJA. LONGITUD DE LA HEBRA: 68 A 75 CM CALIBRE DE LA SUTURA: 2-0 CARACTERÍSTICAS DE LA AGUJA: 1/2 CÍRCULO AHUSADA (25-27 MM). ENVASE CON 12 PIEZAS.</v>
          </cell>
          <cell r="U2957">
            <v>1286</v>
          </cell>
          <cell r="V2957">
            <v>3213</v>
          </cell>
        </row>
        <row r="2958">
          <cell r="A2958">
            <v>2955</v>
          </cell>
          <cell r="B2958" t="str">
            <v>060.841.4447</v>
          </cell>
          <cell r="E2958" t="str">
            <v>Suturas. Catgut crómico con aguja. Longitud de la hebra: 68 a 75 cm Calibre de la sutura: 0 Características de la aguja: 1/2 círculo ahusada (25-27 mm). Envase con 12 piezas.</v>
          </cell>
          <cell r="U2958">
            <v>33420</v>
          </cell>
          <cell r="V2958">
            <v>83549</v>
          </cell>
        </row>
        <row r="2959">
          <cell r="A2959">
            <v>2956</v>
          </cell>
          <cell r="B2959" t="str">
            <v>060.841.4462</v>
          </cell>
          <cell r="E2959" t="str">
            <v>Suturas. Catgut crómico con aguja. Longitud de la hebra: 68 a 75 cm Calibre de la sutura: 3-0 Características de la aguja: 1/2 círculo ahusada (25-27 mm). Envase con 12 piezas.</v>
          </cell>
          <cell r="U2959">
            <v>52923</v>
          </cell>
          <cell r="V2959">
            <v>132305</v>
          </cell>
        </row>
        <row r="2960">
          <cell r="A2960">
            <v>2957</v>
          </cell>
          <cell r="B2960" t="str">
            <v>060.841.4470</v>
          </cell>
          <cell r="E2960" t="str">
            <v>Suturas. Catgut crómico con aguja. Longitud de la hebra: 68 a 75 cm Calibre de la sutura: 4-0 Características de la aguja: 1/2 círculo ahusada (25-27 mm). Envase con 12 piezas.</v>
          </cell>
          <cell r="U2960">
            <v>21299</v>
          </cell>
          <cell r="V2960">
            <v>53247</v>
          </cell>
        </row>
        <row r="2961">
          <cell r="A2961">
            <v>2958</v>
          </cell>
          <cell r="B2961" t="str">
            <v>060.841.7374</v>
          </cell>
          <cell r="E2961" t="str">
            <v>SUTURAS. SEDA NEGRA TRENZADA SIN AGUJA. LONGITUD DE LA HEBRA: 91 M CALIBRE DE LASUTURA: 2. CARRETE.</v>
          </cell>
          <cell r="U2961">
            <v>314</v>
          </cell>
          <cell r="V2961">
            <v>785</v>
          </cell>
        </row>
        <row r="2962">
          <cell r="A2962">
            <v>2959</v>
          </cell>
          <cell r="B2962" t="str">
            <v>060.841.8968</v>
          </cell>
          <cell r="E2962" t="str">
            <v>Suturas. Sintéticas absorbibles polímero de ácido glicólico trenzado con aguja. Longitud de la hebra: 20 cm Calibre de la sutura: 8-0 Características de la aguja: 3/8 de círculo con doble armado micropunta espatulada (6.5 mm)Envase con 12 piezas.</v>
          </cell>
          <cell r="U2962">
            <v>2985</v>
          </cell>
          <cell r="V2962">
            <v>7461</v>
          </cell>
        </row>
        <row r="2963">
          <cell r="A2963">
            <v>2960</v>
          </cell>
          <cell r="B2963" t="str">
            <v>060.842.0220</v>
          </cell>
          <cell r="E2963" t="str">
            <v>Suturas. De poliéster blanco trenzado doble armado con aguja espatulada de 1/4 de círculo longitud de la aguja de 8 a 13 mm longitud de la hebra 45 cm. Calibre 5-0. Envase con 12 piezas.</v>
          </cell>
          <cell r="U2963">
            <v>1778</v>
          </cell>
          <cell r="V2963">
            <v>4441</v>
          </cell>
        </row>
        <row r="2964">
          <cell r="A2964">
            <v>2961</v>
          </cell>
          <cell r="B2964" t="str">
            <v>060.842.0246</v>
          </cell>
          <cell r="E2964" t="str">
            <v>SUTURAS. DE MONOFILAMENTO SINTÉTICO ABSORBIBLE DE COPOLÍMERO DE GLICOLIDA Y ÉPSILON-CAPROLACTONA CON COLOR. LONGITUD DE LA HEBRA: 45 CM CALIBRE DE LA SUTURA: 4-0 CARACTERÍSTICAS DE LA AGUJA: REVERSO CORTANTE 3/8 DE CÍRCULO DE (13 MM). ENVASE CON 12 PIEZAS.</v>
          </cell>
          <cell r="U2964">
            <v>2174</v>
          </cell>
          <cell r="V2964">
            <v>5434</v>
          </cell>
        </row>
        <row r="2965">
          <cell r="A2965">
            <v>2962</v>
          </cell>
          <cell r="B2965" t="str">
            <v>060.842.0279</v>
          </cell>
          <cell r="E2965" t="str">
            <v>SUTURAS. DE MONOFILAMENTO SINTETICO ABSORBIBLE DE COPOLIMERO DE GLICOLIDA YEPSILON-CAPROLACTONA CON COLOR PRECORTADO 6 HEBRAS POR SOBRE. LONGITUD DE LAHEBRA: 45 CM CALIBRE DE LA SUTURA: 1. ENVASE CON 12 PIEZAS.</v>
          </cell>
          <cell r="U2965">
            <v>78</v>
          </cell>
          <cell r="V2965">
            <v>192</v>
          </cell>
        </row>
        <row r="2966">
          <cell r="A2966">
            <v>2963</v>
          </cell>
          <cell r="B2966" t="str">
            <v>060.842.0295</v>
          </cell>
          <cell r="E2966" t="str">
            <v>SUTURAS. DE MONOFILAMENTO SINTÉTICO ABSORBIBLE DE COPOLÍMERO DE GLICOLIDA Y ÉPSILON-CAPROLACTONA INCOLORA. LONGITUD DE LA HEBRA: 70 CM CALIBRE DE LA SUTURA: 3-0. CARACTERÍSTICAS DE LA AGUJA: REVERSO CORTANTE DE 3/8 DE CÍRCULO DE 24 MM. ENVASE CON 36 PIEZAS.</v>
          </cell>
          <cell r="U2966">
            <v>5576</v>
          </cell>
          <cell r="V2966">
            <v>13938</v>
          </cell>
        </row>
        <row r="2967">
          <cell r="A2967">
            <v>2964</v>
          </cell>
          <cell r="B2967" t="str">
            <v>060.842.0303</v>
          </cell>
          <cell r="E2967" t="str">
            <v>Suturas. De monofilamento sintético absorbible de copolímero de glicolida y épsilon-caprolactona con color. Longitud de la hebra: 70 cm Calibre de la sutura: 1 Características de la aguja: Aguja ahusada de 1/2 círculo (35- 36 mm). Envase con 36 piezas.</v>
          </cell>
          <cell r="U2967">
            <v>3770</v>
          </cell>
          <cell r="V2967">
            <v>9422</v>
          </cell>
        </row>
        <row r="2968">
          <cell r="A2968">
            <v>2965</v>
          </cell>
          <cell r="B2968" t="str">
            <v>060.842.0311</v>
          </cell>
          <cell r="E2968" t="str">
            <v>Suturas. De monofilamento sintético absorbible de copolímero de glicolida y épsilon-caprolactona con color. Longitud de la hebra: 70 cm Calibre de la sutura: 0 Envase con 36 piezas.</v>
          </cell>
          <cell r="U2968">
            <v>1755</v>
          </cell>
          <cell r="V2968">
            <v>4384</v>
          </cell>
        </row>
        <row r="2969">
          <cell r="A2969">
            <v>2966</v>
          </cell>
          <cell r="B2969" t="str">
            <v>060.842.0329</v>
          </cell>
          <cell r="E2969" t="str">
            <v>Suturas. De monofilamento sintético absorbible de copolímero de glicolida y épsilon-caprolactona con color. Longitud de la hebra: 70 cm Calibre de la sutura: 2-0 Características de la aguja: Aguja ahusada de 1/2 círculo (35 a 36 mm).Envase con 36 piezas.</v>
          </cell>
          <cell r="U2969">
            <v>5385</v>
          </cell>
          <cell r="V2969">
            <v>13460</v>
          </cell>
        </row>
        <row r="2970">
          <cell r="A2970">
            <v>2967</v>
          </cell>
          <cell r="B2970" t="str">
            <v>060.842.0337</v>
          </cell>
          <cell r="E2970" t="str">
            <v>Suturas. De monofilamento sintético absorbible de copolímero de glicolida y épsilon-caprolactona con color. Longitud de la hebra: 70 cm Calibre de la sutura: 3-0. Características de la aguja: Aguja ahusada de 1/2 círculo (35 a 36 mm). Envase con 36 piezas.</v>
          </cell>
          <cell r="U2970">
            <v>1996</v>
          </cell>
          <cell r="V2970">
            <v>4988</v>
          </cell>
        </row>
        <row r="2971">
          <cell r="A2971">
            <v>2968</v>
          </cell>
          <cell r="B2971" t="str">
            <v>060.842.0345</v>
          </cell>
          <cell r="E2971" t="str">
            <v>Suturas. De monofilamento sintético absorbible de copolímero de glicolida y épsilon-caprolactona con color. Longitud de la hebra: 70 cm Calibre de la sutura: 1 Características de la aguja: Aguja ahusada de 1/2 círculo (40 mm). Envase con 36 piezas.</v>
          </cell>
          <cell r="U2971">
            <v>1979</v>
          </cell>
          <cell r="V2971">
            <v>4944</v>
          </cell>
        </row>
        <row r="2972">
          <cell r="A2972">
            <v>2969</v>
          </cell>
          <cell r="B2972" t="str">
            <v>060.842.0352</v>
          </cell>
          <cell r="E2972" t="str">
            <v>SUTURAS. DE MONOFILAMENTO SINTÉTICO ABSORBIBLE DE COPOLÍMERO DE GLICOLIDA Y ÉPSILON-CAPROLACTONA CON COLOR. LONGITUD DE LA HEBRA: 70 CM CALIBRE DE LA SUTURA: 0 CARACTERÍSTICAS DE LA AGUJA: AGUJA AHUSADA DE 1/2 CÍRCULO (40 MM). ENVASE CON 36 PIEZAS.</v>
          </cell>
          <cell r="U2972">
            <v>2144</v>
          </cell>
          <cell r="V2972">
            <v>5358</v>
          </cell>
        </row>
        <row r="2973">
          <cell r="A2973">
            <v>2970</v>
          </cell>
          <cell r="B2973" t="str">
            <v>060.842.0360</v>
          </cell>
          <cell r="E2973" t="str">
            <v>SUTURAS DE MONOFILAMENTO SINTETICO ABSORBIBLE DE COPOLIMERO DE GLICOLIDAYEPSILON-CAPROLACTONA, CON COLOR. LONGITUD DE LA HEBRA. 70 CM CALIBRE DELASUTURA. 2-0 CARACTERISTICAS DE LA AGUJA. CON AGUJA AHUSADA, DE 1/2 CIRCULO(40MM). ENVASE CON 36 PIEZAS.</v>
          </cell>
          <cell r="U2973">
            <v>916</v>
          </cell>
          <cell r="V2973">
            <v>2288</v>
          </cell>
        </row>
        <row r="2974">
          <cell r="A2974">
            <v>2971</v>
          </cell>
          <cell r="B2974" t="str">
            <v>060.842.0394</v>
          </cell>
          <cell r="E2974" t="str">
            <v>Suturas. De monofilamento sintético absorbible de copolímero de glicolida y épsilon-caprolactona con color. Longitud de la hebra: 70 cm Calibre de la sutura: 4-0 Características de la aguja: Aguja ahusada de 1/2 círculo (15 a 17 mm).  Envase con 36 piezas.</v>
          </cell>
          <cell r="U2974">
            <v>2476</v>
          </cell>
          <cell r="V2974">
            <v>6188</v>
          </cell>
        </row>
        <row r="2975">
          <cell r="A2975">
            <v>2972</v>
          </cell>
          <cell r="B2975" t="str">
            <v>060.842.0402</v>
          </cell>
          <cell r="E2975" t="str">
            <v>Suturas. De monofilamento sintético absorbible de copolímero de glicolida y épsilon-caprolactona con color. Longitud de la hebra: 70 cm Calibre de la sutura: 5-0 Características de la aguja: Aguja ahusada de 1/2 círculo (15 a 17 mm). Envase con 36 piezas.</v>
          </cell>
          <cell r="U2975">
            <v>3191</v>
          </cell>
          <cell r="V2975">
            <v>7974</v>
          </cell>
        </row>
        <row r="2976">
          <cell r="A2976">
            <v>2973</v>
          </cell>
          <cell r="B2976" t="str">
            <v>060.842.0410</v>
          </cell>
          <cell r="E2976" t="str">
            <v>SUTURAS. DE MONOFILAMENTO SINTÉTICO ABSORBIBLE DE COPOLÍMERO DE GLICOLIDA Y ÉPSILON-CAPROLACTONA CON COLOR. LONGITUD DE LA HEBRA: 70 CM CALIBRE DE LA SUTURA: 2-0 CARACTERÍSTICAS DE LA AGUJA: AGUJA AHUSADA DE 1/2 CÍRCULO (25 A 26 MM). ENVASE CON 36 PIEZAS.</v>
          </cell>
          <cell r="U2976">
            <v>1965</v>
          </cell>
          <cell r="V2976">
            <v>4912</v>
          </cell>
        </row>
        <row r="2977">
          <cell r="A2977">
            <v>2974</v>
          </cell>
          <cell r="B2977" t="str">
            <v>060.842.0428</v>
          </cell>
          <cell r="E2977" t="str">
            <v>Suturas. De monofilamento sintético absorbible de copolímero de glicolida y épsilon-caprolactona con color. Longitud de la hebra: 70 cm Calibre de la sutura: 3-0 Características de la aguja: Aguja ahusada de 1/2 círculo (25 a 26 mm). Envase con 36 piezas.</v>
          </cell>
          <cell r="U2977">
            <v>5049</v>
          </cell>
          <cell r="V2977">
            <v>12619</v>
          </cell>
        </row>
        <row r="2978">
          <cell r="A2978">
            <v>2975</v>
          </cell>
          <cell r="B2978" t="str">
            <v>060.842.0436</v>
          </cell>
          <cell r="E2978" t="str">
            <v>Suturas. De monofilamento sintético absorbible de copolímero de glicolida y épsilon-caprolactona con color. Longitud de la hebra: 70 cm Calibre de la sutura: 4-0 Características de la aguja: Aguja ahusada de 1/2 círculo (25 a 26 mm). Envase con 36 piezas.</v>
          </cell>
          <cell r="U2978">
            <v>1552</v>
          </cell>
          <cell r="V2978">
            <v>3879</v>
          </cell>
        </row>
        <row r="2979">
          <cell r="A2979">
            <v>2976</v>
          </cell>
          <cell r="B2979" t="str">
            <v>060.842.0469</v>
          </cell>
          <cell r="E2979" t="str">
            <v>Suturas. Sintéticas no absorbibles monofilamento de polipropileno con aguja. Longitud de la hebra: 90 cm Calibre de la sutura: 2-0 Características de la aguja: 1/2 círculo punta ahusada (26 mm). Envase con 12 piezas.</v>
          </cell>
          <cell r="U2979">
            <v>15985</v>
          </cell>
          <cell r="V2979">
            <v>39959</v>
          </cell>
        </row>
        <row r="2980">
          <cell r="A2980">
            <v>2977</v>
          </cell>
          <cell r="B2980" t="str">
            <v>060.842.0477</v>
          </cell>
          <cell r="E2980" t="str">
            <v>SUTURAS. SINTÉTICAS ABSORBIBLES. MONOFILAMENTO DE POLIDIOXANONA CON AGUJA. LONGITUD DE LA HEBRA: 70 A 75 CM CALIBRE DE LA SUTURA: 5-0 CARACTERÍSTICAS DE LA AGUJA: 3/8 CÍRCULO PUNTA AHUSADA DOBLE ARMADO (11-13 MM). ENVASE CON 12 PIEZAS.</v>
          </cell>
          <cell r="U2980">
            <v>3100</v>
          </cell>
          <cell r="V2980">
            <v>7747</v>
          </cell>
        </row>
        <row r="2981">
          <cell r="A2981">
            <v>2978</v>
          </cell>
          <cell r="B2981" t="str">
            <v>060.842.0485</v>
          </cell>
          <cell r="E2981" t="str">
            <v>SUTURAS. SINTÉTICAS ABSORBIBLES. MONOFILAMENTO DE POLIDIOXANONA CON AGUJA. LONGITUD DE LA HEBRA: 70 A 75 CM CALIBRE DE LA SUTURA: 6-0 CARACTERÍSTICAS DE LA AGUJA: 3/8 CÍRCULO PUNTA AHUSADA DOBLE ARMADO (11-13 MM). ENVASE CON 12 PIEZAS.</v>
          </cell>
          <cell r="U2981">
            <v>1288</v>
          </cell>
          <cell r="V2981">
            <v>3218</v>
          </cell>
        </row>
        <row r="2982">
          <cell r="A2982">
            <v>2979</v>
          </cell>
          <cell r="B2982" t="str">
            <v>060.842.0501</v>
          </cell>
          <cell r="E2982" t="str">
            <v>SUTURAS SINTETICAS ABSORBIBLES. TRENZADA DE POLIGLICONATO, CON AGUJA. LONGITUDDELA HEBRA. 70 CM CALIBRE DE LA SUTURA. 0 CARACTERISTICAS DE LA AGUJA. ENFORMA DEESQUI AHUSADA, DE (24-26 MM). ENVASE CON 12 PIEZAS.</v>
          </cell>
          <cell r="U2982">
            <v>1834</v>
          </cell>
          <cell r="V2982">
            <v>4584</v>
          </cell>
        </row>
        <row r="2983">
          <cell r="A2983">
            <v>2980</v>
          </cell>
          <cell r="B2983" t="str">
            <v>060.842.0519</v>
          </cell>
          <cell r="E2983" t="str">
            <v>SUTURAS. SINTÉTICAS NO ABSORBIBLES MONOFILAMENTO DE POLIPROPILENO CON AGUJA. LONGITUD DE LA HEBRA: 75 CM CALIBRE DE LA SUTURA: 0 CARACTERÍSTICAS DE LA AGUJA: 1/2 DE CÍRCULO CORTANTE (24-26 MM). ENVASE CON 12 PIEZAS.</v>
          </cell>
          <cell r="U2983">
            <v>6768</v>
          </cell>
          <cell r="V2983">
            <v>16918</v>
          </cell>
        </row>
        <row r="2984">
          <cell r="A2984">
            <v>2981</v>
          </cell>
          <cell r="B2984" t="str">
            <v>060.842.0527</v>
          </cell>
          <cell r="E2984" t="str">
            <v>Suturas. Sintéticas no absorbibles monofilamento de polipropileno con aguja. Longitud de la hebra: 75 cm Calibre de la sutura: 1 Características de la aguja: 1/2 de círculo cortante (35-37 mm). Envase con 12 piezas.</v>
          </cell>
          <cell r="U2984">
            <v>21554</v>
          </cell>
          <cell r="V2984">
            <v>53883</v>
          </cell>
        </row>
        <row r="2985">
          <cell r="A2985">
            <v>2982</v>
          </cell>
          <cell r="B2985" t="str">
            <v>060.842.0535</v>
          </cell>
          <cell r="E2985" t="str">
            <v>Suturas. Sintéticas no absorbibles monofilamento de polipropileno con aguja. Longitud de la hebra: 75 cm Calibre de la sutura: 2 Características de la aguja: 1/2 de círculo cortante (35-37 mm). Envase con 12 piezas.</v>
          </cell>
          <cell r="U2985">
            <v>12730</v>
          </cell>
          <cell r="V2985">
            <v>31823</v>
          </cell>
        </row>
        <row r="2986">
          <cell r="A2986">
            <v>2983</v>
          </cell>
          <cell r="B2986" t="str">
            <v>060.842.0543</v>
          </cell>
          <cell r="E2986" t="str">
            <v>SUTURAS. SINTETICAS NO ABSORBIBLES MONOFILAMENTO DE POLIPROPILENO CON AGUJA.LONGITUD DE LA HEBRA: 20 CM CALIBRE DE LA SUTURA: 10-0 CARACTERISTICAS DE LAAGUJA: 1/4 DE CIRCULO DOBLE ARMADO ESPATULADA (8.73 MM). ENVASE CON 12 PIEZAS.</v>
          </cell>
          <cell r="U2986">
            <v>151</v>
          </cell>
          <cell r="V2986">
            <v>374</v>
          </cell>
        </row>
        <row r="2987">
          <cell r="A2987">
            <v>2984</v>
          </cell>
          <cell r="B2987" t="str">
            <v>060.842.0550</v>
          </cell>
          <cell r="E2987" t="str">
            <v>SUTURAS. SINTETICAS NO ABSORBIBLES MONOFILAMENTO DE POLIPROPILENO CON AGUJA.LONGITUD DE LA HEBRA: 20 CM CALIBRE DE LA SUTURA: 10-0 CARACTERISTICAS DE LAAGUJA: 1/4 DE CIRCULO DOBLE ARMADO ESPATULADA (9.12 MM). ENVASE CON 12 PIEZAS.</v>
          </cell>
          <cell r="U2987">
            <v>42</v>
          </cell>
          <cell r="V2987">
            <v>104</v>
          </cell>
        </row>
        <row r="2988">
          <cell r="A2988">
            <v>2985</v>
          </cell>
          <cell r="B2988" t="str">
            <v>060.842.0618</v>
          </cell>
          <cell r="E2988" t="str">
            <v>SUTURAS. SUTURA SINTÉTICA ABSORBIBLE ESTÉRIL COMPUESTA DE UN COPOLÍMERO HECHO DE 90% DE GLICÓLIDO Y 10% DE L-LÁCTICO Y CON RECUBRIMIENTO QUE CONTIENE TRICLOSÁN. LONGITUD DE LA HEBRA/SUTURA: 70 CM CALIBRE / TAMAÑO DE LA SUTURA: 3-0 CARACTERÍSTICAS DE LA AGUJA (CURVATURA Y LUNGITUD): AGUJA 1/2 CIRCULO DE 26 MM DE LONGITUD. CAJA CON 36 PIEZAS.</v>
          </cell>
          <cell r="U2988">
            <v>2</v>
          </cell>
          <cell r="V2988">
            <v>4</v>
          </cell>
        </row>
        <row r="2989">
          <cell r="A2989">
            <v>2986</v>
          </cell>
          <cell r="B2989" t="str">
            <v>060.849.0207</v>
          </cell>
          <cell r="E2989" t="str">
            <v>TALCO. PARA PACIENTES. COMPUESTO DE SILICATO DE MAGNESIO HIDRATADO Y SILICATO DEALUMINIO CON PERFUME. ENVASE TIPO SALERO CON 100 G.</v>
          </cell>
          <cell r="U2989">
            <v>19937</v>
          </cell>
          <cell r="V2989">
            <v>49841</v>
          </cell>
        </row>
        <row r="2990">
          <cell r="A2990">
            <v>2987</v>
          </cell>
          <cell r="B2990" t="str">
            <v>060.855.0042</v>
          </cell>
          <cell r="E2990" t="str">
            <v>TAPAS. DE POLIPROPILENO RESISTENTE A LA ESTERILIZACION. PARA FRASCO PARA LECHEMATERNA O SUCEDANEO. COLOR: VERDE PISTACHE. PIEZA.</v>
          </cell>
          <cell r="U2990">
            <v>31248</v>
          </cell>
          <cell r="V2990">
            <v>78116</v>
          </cell>
        </row>
        <row r="2991">
          <cell r="A2991">
            <v>2988</v>
          </cell>
          <cell r="B2991" t="str">
            <v>060.855.0059</v>
          </cell>
          <cell r="E2991" t="str">
            <v>TAPAS. DE POLIPROPILENO RESISTENTE A LA ESTERILIZACION. PARA FRASCO PARA LECHEMATERNA O SUCEDANEO. COLOR: AZUL. PIEZA.</v>
          </cell>
          <cell r="U2991">
            <v>32832</v>
          </cell>
          <cell r="V2991">
            <v>82078</v>
          </cell>
        </row>
        <row r="2992">
          <cell r="A2992">
            <v>2989</v>
          </cell>
          <cell r="B2992" t="str">
            <v>060.855.0067</v>
          </cell>
          <cell r="E2992" t="str">
            <v>TAPAS. DE POLIPROPILENO RESISTENTE A LA ESTERILIZACION. PARA FRASCO PARA LECHEMATERNA O SUCEDANEO. COLOR: ROSA. PIEZA.</v>
          </cell>
          <cell r="U2992">
            <v>18746</v>
          </cell>
          <cell r="V2992">
            <v>46864</v>
          </cell>
        </row>
        <row r="2993">
          <cell r="A2993">
            <v>2990</v>
          </cell>
          <cell r="B2993" t="str">
            <v>060.855.0083</v>
          </cell>
          <cell r="E2993" t="str">
            <v>TAPAS. DE POLIPROPILENO RESISTENTE A LA ESTERILIZACION. PARA FRASCO PARA LECHEMATERNA O SUCEDANEO. COLOR: AMARILLO. PIEZA.</v>
          </cell>
          <cell r="U2993">
            <v>5982</v>
          </cell>
          <cell r="V2993">
            <v>14952</v>
          </cell>
        </row>
        <row r="2994">
          <cell r="A2994">
            <v>2991</v>
          </cell>
          <cell r="B2994" t="str">
            <v>060.859.0097</v>
          </cell>
          <cell r="E2994" t="str">
            <v>Tapones. Para sonda foley. De plástico desechables. Pieza.</v>
          </cell>
          <cell r="U2994">
            <v>105783</v>
          </cell>
          <cell r="V2994">
            <v>264456</v>
          </cell>
        </row>
        <row r="2995">
          <cell r="A2995">
            <v>2992</v>
          </cell>
          <cell r="B2995" t="str">
            <v>060.859.0519</v>
          </cell>
          <cell r="E2995" t="str">
            <v>Tapones. Tapones luer lock para catéter de Hickman para heparinización. Estéril y desechable. Pieza.</v>
          </cell>
          <cell r="U2995">
            <v>3903229</v>
          </cell>
          <cell r="V2995">
            <v>9758071</v>
          </cell>
        </row>
        <row r="2996">
          <cell r="A2996">
            <v>2993</v>
          </cell>
          <cell r="B2996" t="str">
            <v>060.859.0550</v>
          </cell>
          <cell r="E2996" t="str">
            <v>Tapón luer lock protector con solución antiséptica de iodopovidona para protección del equipo de transferencia sistema automático. Pieza.</v>
          </cell>
          <cell r="U2996">
            <v>37813</v>
          </cell>
          <cell r="V2996">
            <v>94531</v>
          </cell>
        </row>
        <row r="2997">
          <cell r="A2997">
            <v>2994</v>
          </cell>
          <cell r="B2997" t="str">
            <v>060.859.0592</v>
          </cell>
          <cell r="E2997" t="str">
            <v>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v>
          </cell>
          <cell r="U2997">
            <v>1765</v>
          </cell>
          <cell r="V2997">
            <v>4412</v>
          </cell>
        </row>
        <row r="2998">
          <cell r="A2998">
            <v>2995</v>
          </cell>
          <cell r="B2998" t="str">
            <v>060.869.0103</v>
          </cell>
          <cell r="E2998" t="str">
            <v>TELAS ADHESIVAS. DE ACETATO CON ADHESIVO EN UNA DE SUS CARAS. LONGITUD: 10 M. ANCHO: 1.25 CM. PRESENTACIÓN: 24 PIEZAS.</v>
          </cell>
          <cell r="U2998">
            <v>4436</v>
          </cell>
          <cell r="V2998">
            <v>11088</v>
          </cell>
        </row>
        <row r="2999">
          <cell r="A2999">
            <v>2996</v>
          </cell>
          <cell r="B2999" t="str">
            <v>060.869.0152</v>
          </cell>
          <cell r="E2999" t="str">
            <v>Telas Adhesivas. De acetato con adhesivo en una de sus caras. Longitud: 10 m. Ancho: 2.50 cm. Presentación: 12 piezas.</v>
          </cell>
          <cell r="U2999">
            <v>354205</v>
          </cell>
          <cell r="V2999">
            <v>885512</v>
          </cell>
        </row>
        <row r="3000">
          <cell r="A3000">
            <v>2997</v>
          </cell>
          <cell r="B3000" t="str">
            <v>060.869.0202</v>
          </cell>
          <cell r="E3000" t="str">
            <v>Telas Adhesivas. De acetato con adhesivo en una de sus caras. Longitud: 10 m. Ancho: 5.00 cm. Presentación: 6 piezas.</v>
          </cell>
          <cell r="U3000">
            <v>312701</v>
          </cell>
          <cell r="V3000">
            <v>781750</v>
          </cell>
        </row>
        <row r="3001">
          <cell r="A3001">
            <v>2998</v>
          </cell>
          <cell r="B3001" t="str">
            <v>060.869.0251</v>
          </cell>
          <cell r="E3001" t="str">
            <v>Telas Adhesivas. De acetato con adhesivo en una de sus caras. Longitud: 10 m. Ancho: 7.50 cm. Presentación: 4 piezas.</v>
          </cell>
          <cell r="U3001">
            <v>201805</v>
          </cell>
          <cell r="V3001">
            <v>504510</v>
          </cell>
        </row>
        <row r="3002">
          <cell r="A3002">
            <v>2999</v>
          </cell>
          <cell r="B3002" t="str">
            <v>060.879.0200</v>
          </cell>
          <cell r="E3002" t="str">
            <v>TERMÓMETROS.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v>
          </cell>
          <cell r="U3002">
            <v>127063</v>
          </cell>
          <cell r="V3002">
            <v>317655</v>
          </cell>
        </row>
        <row r="3003">
          <cell r="A3003">
            <v>3000</v>
          </cell>
          <cell r="B3003" t="str">
            <v>060.879.0218</v>
          </cell>
          <cell r="E3003" t="str">
            <v>TERMÓMETROS. Termómetro que permite medir la temperatura del cuerpo humano, a través del canal auditivo. Consta de: Pantalla digital con iluminación. Mecanismo de encendido manual o automático. Despliegue de temperatura de 34 a 42 grados centígrados. Con fundas protectoras del extremo de inserción. Con alarma visual o sonora al encendido, al finalizar la medición y al detectar batería baja. Con memoria mínima de 10 determinaciones. Funcionamiento con batería de litio. Con estuche para guarda o funda protectora</v>
          </cell>
          <cell r="U3003">
            <v>58367</v>
          </cell>
          <cell r="V3003">
            <v>145916</v>
          </cell>
        </row>
        <row r="3004">
          <cell r="A3004">
            <v>3001</v>
          </cell>
          <cell r="B3004" t="str">
            <v>060.879.0226</v>
          </cell>
          <cell r="E3004" t="str">
            <v>TERMÓMETROS. Termómetro clínico de cambio de color. Termómetro de matriz de puntos, (cuyos químicos no tóxicos cambian de color dependiendo de la temperatura) para la determinación de temperatura, vía oral. Medición de temperatura de 35.5 a 40.4 grados centígrados en incrementos de 0.1 grados centígrados. No requiere baterías ni calibración. De un solo uso (para uso individual, para evitar infecciones cruzadas). Presentación: pieza empacada individualmente. Caja con 100 termómetros.</v>
          </cell>
          <cell r="U3004">
            <v>44886</v>
          </cell>
          <cell r="V3004">
            <v>112214</v>
          </cell>
        </row>
        <row r="3005">
          <cell r="A3005">
            <v>3002</v>
          </cell>
          <cell r="B3005" t="str">
            <v>060.889.0158</v>
          </cell>
          <cell r="E3005" t="str">
            <v>Tiras. De celuloide para conformar restauraciones de resina. Ancho: 8 a10 mm Calibre: Fino Envase con 50 piezas.</v>
          </cell>
          <cell r="U3005">
            <v>12171</v>
          </cell>
          <cell r="V3005">
            <v>30425</v>
          </cell>
        </row>
        <row r="3006">
          <cell r="A3006">
            <v>3003</v>
          </cell>
          <cell r="B3006" t="str">
            <v>060.889.0208</v>
          </cell>
          <cell r="E3006" t="str">
            <v>Tiras. De lija para pulir restauraciones de resina. Grueso y mediano. Envase con 150 piezas tiras dobles.</v>
          </cell>
          <cell r="U3006">
            <v>12989</v>
          </cell>
          <cell r="V3006">
            <v>32471</v>
          </cell>
        </row>
        <row r="3007">
          <cell r="A3007">
            <v>3004</v>
          </cell>
          <cell r="B3007" t="str">
            <v>060.889.0216</v>
          </cell>
          <cell r="E3007" t="str">
            <v>Tiras. De fluoresceína para uso oftalmológico. Envase con 10 piezas.</v>
          </cell>
          <cell r="U3007">
            <v>21491</v>
          </cell>
          <cell r="V3007">
            <v>53725</v>
          </cell>
        </row>
        <row r="3008">
          <cell r="A3008">
            <v>3005</v>
          </cell>
          <cell r="B3008" t="str">
            <v>060.889.0224</v>
          </cell>
          <cell r="E3008" t="str">
            <v>Tiras. De lija para pulir restauraciones de resina. Extra fino fino mediano y grueso. Envase con 100 piezas.</v>
          </cell>
          <cell r="U3008">
            <v>114</v>
          </cell>
          <cell r="V3008">
            <v>284</v>
          </cell>
        </row>
        <row r="3009">
          <cell r="A3009">
            <v>3006</v>
          </cell>
          <cell r="B3009" t="str">
            <v>060.889.0232</v>
          </cell>
          <cell r="E3009" t="str">
            <v>Tiras. De lija para pulir restauraciones de resina. Extra fino fino mediano y grueso. Envase con 200 piezas.</v>
          </cell>
          <cell r="U3009">
            <v>150</v>
          </cell>
          <cell r="V3009">
            <v>372</v>
          </cell>
        </row>
        <row r="3010">
          <cell r="A3010">
            <v>3007</v>
          </cell>
          <cell r="B3010" t="str">
            <v>060.894.0052</v>
          </cell>
          <cell r="E3010" t="str">
            <v>Toallas. Para gineco-obstetricia. Rectangulares constituidas por cuatro capas de material absorbente. Desechables. Envase con 100 piezas.</v>
          </cell>
          <cell r="U3010">
            <v>128568</v>
          </cell>
          <cell r="V3010">
            <v>321417</v>
          </cell>
        </row>
        <row r="3011">
          <cell r="A3011">
            <v>3008</v>
          </cell>
          <cell r="B3011" t="str">
            <v>060.904.0100</v>
          </cell>
          <cell r="E3011" t="str">
            <v>Algodones. Torundas. Envase con 500 g.</v>
          </cell>
          <cell r="U3011">
            <v>733911</v>
          </cell>
          <cell r="V3011">
            <v>1834776</v>
          </cell>
        </row>
        <row r="3012">
          <cell r="A3012">
            <v>3009</v>
          </cell>
          <cell r="B3012" t="str">
            <v>060.908.0015</v>
          </cell>
          <cell r="E3012" t="str">
            <v>Tubo para canalización. De látex natural radiopaco. Longitud 45 cm. Diámetro: 7.94 mm (5/16 "). Pieza.</v>
          </cell>
          <cell r="U3012">
            <v>141147</v>
          </cell>
          <cell r="V3012">
            <v>352866</v>
          </cell>
        </row>
        <row r="3013">
          <cell r="A3013">
            <v>3010</v>
          </cell>
          <cell r="B3013" t="str">
            <v>060.908.0114</v>
          </cell>
          <cell r="E3013" t="str">
            <v>Tubo para canalización. De látex natural radiopaco. Longitud 45 cm. Diámetro: 12.70 mm (1/2 "). Pieza.</v>
          </cell>
          <cell r="U3013">
            <v>207117</v>
          </cell>
          <cell r="V3013">
            <v>517790</v>
          </cell>
        </row>
        <row r="3014">
          <cell r="A3014">
            <v>3011</v>
          </cell>
          <cell r="B3014" t="str">
            <v>060.908.0122</v>
          </cell>
          <cell r="E3014" t="str">
            <v>Tubo para canalización. De látex natural radiopaco. Longitud 45 cm. Diámetro: 19.05 mm (3/4 "). Pieza.</v>
          </cell>
          <cell r="U3014">
            <v>102538</v>
          </cell>
          <cell r="V3014">
            <v>256343</v>
          </cell>
        </row>
        <row r="3015">
          <cell r="A3015">
            <v>3012</v>
          </cell>
          <cell r="B3015" t="str">
            <v>060.908.0130</v>
          </cell>
          <cell r="E3015" t="str">
            <v>Tubo para canalización. De látex natural radiopaco. Longitud 45 cm. Diámetro: 25.40 mm (1 "). Pieza.</v>
          </cell>
          <cell r="U3015">
            <v>73700</v>
          </cell>
          <cell r="V3015">
            <v>184248</v>
          </cell>
        </row>
        <row r="3016">
          <cell r="A3016">
            <v>3013</v>
          </cell>
          <cell r="B3016" t="str">
            <v>060.908.0460</v>
          </cell>
          <cell r="E3016" t="str">
            <v>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 de succión adaptador de tubo tipo Carlens unido a conectores de polipropileno y dos Catéteres. de succión extralargos estériles calibre 37 Fr diámetro del lumen traqueal 6.5 mm diámetro de lumen bronquial 6.5 mm.Pieza.</v>
          </cell>
          <cell r="U3016">
            <v>9605</v>
          </cell>
          <cell r="V3016">
            <v>24010</v>
          </cell>
        </row>
        <row r="3017">
          <cell r="A3017">
            <v>3014</v>
          </cell>
          <cell r="B3017" t="str">
            <v>060.908.0478</v>
          </cell>
          <cell r="E3017" t="str">
            <v>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v>
          </cell>
          <cell r="U3017">
            <v>7714</v>
          </cell>
          <cell r="V3017">
            <v>19283</v>
          </cell>
        </row>
        <row r="3018">
          <cell r="A3018">
            <v>3015</v>
          </cell>
          <cell r="B3018" t="str">
            <v>060.908.0486</v>
          </cell>
          <cell r="E3018" t="str">
            <v>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v>
          </cell>
          <cell r="U3018">
            <v>2121</v>
          </cell>
          <cell r="V3018">
            <v>5299</v>
          </cell>
        </row>
        <row r="3019">
          <cell r="A3019">
            <v>3016</v>
          </cell>
          <cell r="B3019" t="str">
            <v>060.908.0494</v>
          </cell>
          <cell r="E3019" t="str">
            <v>TUBOS. ENDOBRONQUIAL PARA INTUBACION DE BRONQUIO DERECHO, DE PLASTICO GRADOMEDICO, CON DISEÑO DEL GLOBO EN FORMA DE "S” Y ORIFICIO TIPO MURPHY, QUE SEACOPLA CON LA ENTRADA DEL LOBULO SUPERIOR DERECHO CON MARCAS NUMERICAS PARADETERMINAR LA PROFUNDIDAD DE LA COLOCACION DEL TUBO TERMOSENSIBLE, DE DOBLELUMEN (BRONQUIAL Y TRAQUEAL), CON GLOBO INDIVIDUAL DE ALTO VOLUMEN Y BAJAPRESION (TRAQUEAL Y BRONQUIAL) Y SUS RESPECTIVOS GLOBOS PILOTO ROTULADOS, CONVALVULAS DE AUTOSELLADO TRAQUEAL Y BRONQUIAL, CON ESTILETE PREINSERTADO QUE LEPERMITE CONSERVAR LA CURVATURA BRONQUIAL PREFORMADA, CON PUNTA ATRAUMATICA YLINEAS RADIOPACAS, EMPAQUE INDIVIDUAL, ESTERIL. INCLUYE: DOS CONECTORES DEPLASTICO EN ANGULO RECTO, CON PUERTOS DE SUCCION, ADAPTADOR Y TUBO TIPO CARLENSUNIDO A CONECTORES DE POLIPROPILENO Y DOS CATETERES DE SUCCION EXTRALARGOS,ESTERILES, CALIBRE 35 FR, DIAMETRO DEL LUMEN TRAQUEAL 6.0 MM, DIAMETRO DEL LUMENBRONQUIAL 6.0 MM. PIEZA.</v>
          </cell>
          <cell r="U3019">
            <v>1794</v>
          </cell>
          <cell r="V3019">
            <v>4482</v>
          </cell>
        </row>
        <row r="3020">
          <cell r="A3020">
            <v>3017</v>
          </cell>
          <cell r="B3020" t="str">
            <v>060.908.0502</v>
          </cell>
          <cell r="E3020" t="str">
            <v>Tubos. 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v>
          </cell>
          <cell r="U3020">
            <v>7649</v>
          </cell>
          <cell r="V3020">
            <v>19122</v>
          </cell>
        </row>
        <row r="3021">
          <cell r="A3021">
            <v>3018</v>
          </cell>
          <cell r="B3021" t="str">
            <v>060.908.0510</v>
          </cell>
          <cell r="E3021" t="str">
            <v>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v>
          </cell>
          <cell r="U3021">
            <v>1242</v>
          </cell>
          <cell r="V3021">
            <v>3104</v>
          </cell>
        </row>
        <row r="3022">
          <cell r="A3022">
            <v>3019</v>
          </cell>
          <cell r="B3022" t="str">
            <v>060.908.0528</v>
          </cell>
          <cell r="E3022" t="str">
            <v>TUBOS. ENDOBRONQUIAL PARA INTUBACION DE BRONQUIO DERECHO DE PLASTICO GRADOMEDICO CON DISEÑO DEL GLOBO BRONQUIAL EN FORMA DE "S" Y UN ORIFICIO TIPO: MURPHYQUE SE ACOPLA CON LA ENTRADA DEL LOBULO SUPERIOR DERECHO CON MARCAS NUMERICASPARA DETERMINAR LA PROFUNDIDAD DE LA COLOCACION DEL TUBO TERMOSENSIBLE CON DOBLELUMEN (BRONQUIAL Y TRAQUEAL) CON GLOBO INDIVIDUAL DE ALTO VOLUMEN Y BAJA PRESION(TRAQUEAL Y BRONQUIAL) Y SUS RESPECTIVOS GLOBOS PILOTO ROTULADOS CON VALVULAS DEAUTOSELLADO TRAQUEAL Y BRONQUIAL CON ESTILETE PREINSERTADO QUE LE PERMITECONSERVAR LA CURVATURA BRONQUIAL PREFORMADA CON PUNTA ATRAUMATICA Y LINEASRADIOPACAS EMPAQUE INDIVIDUAL ESTERIL. INCLUYE: DOS CONECTORES DE PLASTICO ENANGULO RECTO CON PUERTOS DE SUCCION ADAPTADOR Y TUBO TIPO CARLENS UNIDO ACONECTORES DE POLIPROPILENO Y DOS CATETERES DE SUCCION EXTRALARGOS ESTERILESCALIBRE 39 FR DIAMETRO DEL LUMEN TRAQUEAL 7.0 MM DIAMETRO DEL LUMEN BRONQUIAL7.0 MM. PIEZA.</v>
          </cell>
          <cell r="U3022">
            <v>1714</v>
          </cell>
          <cell r="V3022">
            <v>4283</v>
          </cell>
        </row>
        <row r="3023">
          <cell r="A3023">
            <v>3020</v>
          </cell>
          <cell r="B3023" t="str">
            <v>060.908.0536</v>
          </cell>
          <cell r="E3023" t="str">
            <v>Tubos. 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Incluye:Dos conectores de plástico en ángulo recto con puertos de succión adaptador y tubo tipo carlens unido a conectores de polipropileno y dos catéteres de succión extralargos estériles calibre 28 Fr diámetro del lumen traqueal 4.5 mm diámetro del lumen bronquial 4.5 mm. Pieza.</v>
          </cell>
          <cell r="U3023">
            <v>3178</v>
          </cell>
          <cell r="V3023">
            <v>7943</v>
          </cell>
        </row>
        <row r="3024">
          <cell r="A3024">
            <v>3021</v>
          </cell>
          <cell r="B3024" t="str">
            <v>060.908.0544</v>
          </cell>
          <cell r="E3024" t="str">
            <v>TUBOS ENDOBRONQUIAL PARA INTUBACION DE BRONQUIO IZQUIERDO, DE PLASTICOGRADOMEDICO, CON DISE¥O DEL GLOBO BRONQUIAL EN FORMA DE "BARRIL" QUE PERMITESUSELLADO, CON MARCAS NUMERICAS PARA DETERMINAR LA PROFUNDIDAD DE LACOLOCACIONDEL TUBO TERMOSENSIBLE CON DOBLE LUMEN (BRONQUIAL Y TRAQUEAL) CONGLOBOSINDIVIDUALES DE ALTO VOLUMEN Y BAJA PRESION (TRAQUEAL Y BRONQUIAL) YSUSRESPECTIVOS GLOBOS PILOTO (ROTULADOS) CON VALVULAS DE AUTOSELLADO TRAQUEAL YBRONQUIAL, CON ESTILETE PREINSERTADO QUE LE PERMITE CONSERVAR LACURVATURABRONQUIAL, PREFORMADA, CON PUNTA ATRAUMATICA Y LINEAS RADIOPACAS,EMPAQUEINDIVIDUAL ESTERIL, INCLUYE: DOS CONECTORES DE PLASTICO EN ANGULO RECTOCONPUERTOS DE SUCCION, ADAPTADOR Y TUBO TIPO CARLENS UNIDO A CONECTORESDEPOLIPROPILENO Y DOS CATETERES DE SUCCION EXTRALARGOS, ESTERILES, CALIBRE 37FR,DIAMETRO DEL LUMEN TRAQUEAL 6.5 MM, DIAMETRO DEL LUMEN BRONQUIAL 6.5 MM. PIEZA.</v>
          </cell>
          <cell r="U3024">
            <v>7314</v>
          </cell>
          <cell r="V3024">
            <v>18284</v>
          </cell>
        </row>
        <row r="3025">
          <cell r="A3025">
            <v>3022</v>
          </cell>
          <cell r="B3025" t="str">
            <v>060.908.0890</v>
          </cell>
          <cell r="E3025" t="str">
            <v>Tubos. Para torniquete. De látex color ámbar con espesor de la pared de 1.13 a 1.37 mm. Metro.</v>
          </cell>
          <cell r="U3025">
            <v>145071</v>
          </cell>
          <cell r="V3025">
            <v>362675</v>
          </cell>
        </row>
        <row r="3026">
          <cell r="A3026">
            <v>3023</v>
          </cell>
          <cell r="B3026" t="str">
            <v>060.908.0924</v>
          </cell>
          <cell r="E3026" t="str">
            <v>Tubos. Tubo para aspirador. De hule látex color ámbar. Diámetro interno 6.3 mm espesor de pared 3.77 mm. Envase con 10 m.</v>
          </cell>
          <cell r="U3026">
            <v>183326</v>
          </cell>
          <cell r="V3026">
            <v>458314</v>
          </cell>
        </row>
        <row r="3027">
          <cell r="A3027">
            <v>3024</v>
          </cell>
          <cell r="B3027" t="str">
            <v>060.908.5113</v>
          </cell>
          <cell r="E3027" t="str">
            <v>TUBOS. DE EXTENSION DE POLIVINILO CON LONGITUD DE 3 M. ESTERIL. ENVASE.</v>
          </cell>
          <cell r="U3027">
            <v>3521</v>
          </cell>
          <cell r="V3027">
            <v>8799</v>
          </cell>
        </row>
        <row r="3028">
          <cell r="A3028">
            <v>3025</v>
          </cell>
          <cell r="B3028" t="str">
            <v>060.909.0097</v>
          </cell>
          <cell r="E3028" t="str">
            <v>TUBOS. DE ELASTOMERO DE SILICON GRADO MEDICO PARA CANALIZACION DE VASOS.DIAMETRO INTERNO 0.64 MM DIAMETRO EXTERNO 1.20 MM. ROLLO CON 30.5 M.</v>
          </cell>
          <cell r="U3028">
            <v>1572</v>
          </cell>
          <cell r="V3028">
            <v>3927</v>
          </cell>
        </row>
        <row r="3029">
          <cell r="A3029">
            <v>3026</v>
          </cell>
          <cell r="B3029" t="str">
            <v>060.909.0105</v>
          </cell>
          <cell r="E3029" t="str">
            <v>TUBOS DE ELASTOMERO DE SILICON GRADO MEDICO, PARA CANALIZACION DE VASOS.DIAMETRO INTERNO.0.76 MM, DIAMETRO EXTERNO 1.65 MM. ROLLO CON 30.5 M.</v>
          </cell>
          <cell r="U3029">
            <v>1549</v>
          </cell>
          <cell r="V3029">
            <v>3870</v>
          </cell>
        </row>
        <row r="3030">
          <cell r="A3030">
            <v>3027</v>
          </cell>
          <cell r="B3030" t="str">
            <v>060.909.0121</v>
          </cell>
          <cell r="E3030" t="str">
            <v>TUBOS DE ELASTOMERO DE SILICON GRADO MEDICO, PARA CANALIZACION DE VASOS.DIAMETRO INTERNO 1.02 MM, DIAMETRO EXTERNO 2.16 MM. ROLLO CON 30.5 M.</v>
          </cell>
          <cell r="U3030">
            <v>1472</v>
          </cell>
          <cell r="V3030">
            <v>3676</v>
          </cell>
        </row>
        <row r="3031">
          <cell r="A3031">
            <v>3028</v>
          </cell>
          <cell r="B3031" t="str">
            <v>060.909.0956</v>
          </cell>
          <cell r="E3031" t="str">
            <v>Tubos. Tubo flexible de polivinilo. Diámetro interno: 8.00 mm. Diámetro externo: 11.1 mm. Rollo de 12 M.</v>
          </cell>
          <cell r="U3031">
            <v>112596</v>
          </cell>
          <cell r="V3031">
            <v>281486</v>
          </cell>
        </row>
        <row r="3032">
          <cell r="A3032">
            <v>3029</v>
          </cell>
          <cell r="B3032" t="str">
            <v>060.909.0998</v>
          </cell>
          <cell r="E3032" t="str">
            <v>CONECTORES. FLEXIBLE DE PLASTICO PARA ESPIROMETRIA. DIAMETRO 38 MM LONGITUD 120CM. PIEZA.</v>
          </cell>
          <cell r="U3032">
            <v>4336</v>
          </cell>
          <cell r="V3032">
            <v>10836</v>
          </cell>
        </row>
        <row r="3033">
          <cell r="A3033">
            <v>3030</v>
          </cell>
          <cell r="B3033" t="str">
            <v>060.910.0011</v>
          </cell>
          <cell r="E3033" t="str">
            <v>Eyectores. Para saliva de plástico desechable.Envase con 100 piezas.</v>
          </cell>
          <cell r="U3033">
            <v>88116</v>
          </cell>
          <cell r="V3033">
            <v>220289</v>
          </cell>
        </row>
        <row r="3034">
          <cell r="A3034">
            <v>3031</v>
          </cell>
          <cell r="B3034" t="str">
            <v>060.932.2573</v>
          </cell>
          <cell r="E3034" t="str">
            <v>VALVULAS PARA DERIVACION DE LIQUIDO CEFALORRAQUIDEO, DE RESORTE, PRESION MUYBAJA DE 15 A 40 MM DE H20, CATETER CEFALICO O VENTRICULAR DE 15 CM MINIMO DELONGITUD Y CATETER PERITONEAL DE 85 CM MINIMO DE LONGITUD. INCLUYE: ADITAMENTOSPARA SU COLOCACION. ESTERIL Y DESECHABLE. TAMANO: ADULTO.</v>
          </cell>
          <cell r="U3034">
            <v>8972</v>
          </cell>
          <cell r="V3034">
            <v>22427</v>
          </cell>
        </row>
        <row r="3035">
          <cell r="A3035">
            <v>3032</v>
          </cell>
          <cell r="B3035" t="str">
            <v>060.932.2581</v>
          </cell>
          <cell r="E3035" t="str">
            <v>VALVULAS PARA DERIVACION DE LIQUIDO CEFALORRAQUIDEO, DE RESORTE, PRESION BAJA DE40 A 80 MM DE H20, CATETER CEFALICO O VENTRICULAR DE 15 CM MINIMO DE LONGITUD YCATETER PERITONEAL DE 85 CM MINIMO DE LONGITUD. INCLUYE: ADITAMENTOS PARA SUCOLOCACION. ESTERIL Y DESECHABLE. TAMANO: ADULTO.</v>
          </cell>
          <cell r="U3035">
            <v>476</v>
          </cell>
          <cell r="V3035">
            <v>1187</v>
          </cell>
        </row>
        <row r="3036">
          <cell r="A3036">
            <v>3033</v>
          </cell>
          <cell r="B3036" t="str">
            <v>060.932.2599</v>
          </cell>
          <cell r="E3036" t="str">
            <v>VALVULAS PARA DERIVACION DE LIQUIDO CEFALORRAQUIDEO, DE RESORTE, PRESION MEDIADE 80 A 120 MM DE H20, CATETER CEFALICO O VENTRICULAR DE 15 CM MINIMO DELONGITUD Y CATETER PERITONEAL DE 85 CM MINIMO DE LONGITUD. INCLUYE ADITAMENTOSPARA SU COLOCACION. ESTERIL Y DESECHABLE. TAMANO: ADULTO.</v>
          </cell>
          <cell r="U3036">
            <v>2136</v>
          </cell>
          <cell r="V3036">
            <v>5338</v>
          </cell>
        </row>
        <row r="3037">
          <cell r="A3037">
            <v>3034</v>
          </cell>
          <cell r="B3037" t="str">
            <v>060.932.2607</v>
          </cell>
          <cell r="E3037" t="str">
            <v>VALVULAS PARA DERIVACION DE LIQUIDO CEFALORRAQUIDEO, DE RESORTE, PRESION ALTA DE120 A 170 MM DE H20, CATETER CEFALICO O VENTRICULAR DE 15 CM MINIMO DE LONGITUDY CATETER PERITONEAL DE 85 CM MINIMO DE LONGITUD. INCLUYE: ADITAMENTOS PARA SUCOLOCACION. ESTERIL Y DESECHABLE. TAMANO: ADULTO.</v>
          </cell>
          <cell r="U3037">
            <v>700</v>
          </cell>
          <cell r="V3037">
            <v>1746</v>
          </cell>
        </row>
        <row r="3038">
          <cell r="A3038">
            <v>3035</v>
          </cell>
          <cell r="B3038" t="str">
            <v>060.932.2615</v>
          </cell>
          <cell r="E3038" t="str">
            <v>VALVULAS PARA DERIVACION DE LIQUIDO CEFALORRAQUIDEO, DE RESORTE, PRESION MUYALTA DE 170 A 230 MM DE H20, CATETER CEFALICO O VENTRICULAR DE 15 CM MINIMO DELONGITUD Y CATETER PERITONEAL DE 85 CM MINIMO DE LONGITUD. INCLUYE: ADITAMENTOSPARA SU COLOCACION. ESTERIL Y DESECHABLE. TAMANO: ADULTO.</v>
          </cell>
          <cell r="U3038">
            <v>66</v>
          </cell>
          <cell r="V3038">
            <v>162</v>
          </cell>
        </row>
        <row r="3039">
          <cell r="A3039">
            <v>3036</v>
          </cell>
          <cell r="B3039" t="str">
            <v>060.932.2623</v>
          </cell>
          <cell r="E3039" t="str">
            <v>VALVULAS PARA DERIVACION DE LIQUIDO CEFALORRAQUIDEO, DE DIAFRAGMA, PRESION MUYBAJA DE 15 A 40 MM DE H2O, CATETER CEFALICO O VENTRICULAR DE 15 CM MINIMO DELONGITUD Y CATETER PERITONEAL DE 85 CM MINIMO DE LONGITUD. INCLUYE: ADITAMENTOSPARA SU COLOCACION. ESTERIL Y DESECHABLE. TAMANO: ADULTO.</v>
          </cell>
          <cell r="U3039">
            <v>39</v>
          </cell>
          <cell r="V3039">
            <v>96</v>
          </cell>
        </row>
        <row r="3040">
          <cell r="A3040">
            <v>3037</v>
          </cell>
          <cell r="B3040" t="str">
            <v>060.932.2631</v>
          </cell>
          <cell r="E3040" t="str">
            <v>VÁLVULAS. PARA DERIVACIÓN DE LÍQUIDO CEFALORRAQUÍDEO DE DIAFRAGMA PRESIÓN BAJA DE 40 A 80 MM DE H2O CATÉTER CEFÁLICO O VENTRICULAR DE 15 CM MÍNIMO DE LONGITUD Y CATÉTER PERITONEAL DE 85 CM MÍNIMO DE LONGITUD. INCLUYE: ADITAMENTOS PARA SU COLOCACIÓN. ESTÉRIL Y DESECHABLE. TAMAÑOS: ADULTO PIEZA.</v>
          </cell>
          <cell r="U3040">
            <v>436</v>
          </cell>
          <cell r="V3040">
            <v>1090</v>
          </cell>
        </row>
        <row r="3041">
          <cell r="A3041">
            <v>3038</v>
          </cell>
          <cell r="B3041" t="str">
            <v>060.932.2649</v>
          </cell>
          <cell r="E3041" t="str">
            <v>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ADULTO PIEZA.</v>
          </cell>
          <cell r="U3041">
            <v>2960</v>
          </cell>
          <cell r="V3041">
            <v>7399</v>
          </cell>
        </row>
        <row r="3042">
          <cell r="A3042">
            <v>3039</v>
          </cell>
          <cell r="B3042" t="str">
            <v>060.932.2656</v>
          </cell>
          <cell r="E3042" t="str">
            <v>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ADULTO PIEZA.</v>
          </cell>
          <cell r="U3042">
            <v>660</v>
          </cell>
          <cell r="V3042">
            <v>1648</v>
          </cell>
        </row>
        <row r="3043">
          <cell r="A3043">
            <v>3040</v>
          </cell>
          <cell r="B3043" t="str">
            <v>060.932.2664</v>
          </cell>
          <cell r="E3043" t="str">
            <v>VALVULAS PARA DERIVACION DE LIQUIDO CEFALORRAQUIDEO, DE DIAFRAGMA, PRESION MUYALTA DE 170 A 230 MM DE H2O, CATETER CEFALICO O VENTRICULAR DE 15 CM MINIMO DELONGITUD Y CATETER PERITONEAL DE 85 CM MINIMO DE LONGITUD. INCLUYE: ADITAMENTOSPARA SU COLOCACION. ESTERIL Y DESECHABLE.  TAMANO: ADULTO.</v>
          </cell>
          <cell r="U3043">
            <v>45</v>
          </cell>
          <cell r="V3043">
            <v>111</v>
          </cell>
        </row>
        <row r="3044">
          <cell r="A3044">
            <v>3041</v>
          </cell>
          <cell r="B3044" t="str">
            <v>060.932.2730</v>
          </cell>
          <cell r="E3044" t="str">
            <v>VALVULAS PARA DERIVACION DE LIQUIDO CEFALORRAQUIDEO, DE RESORTE, PRESION BAJA DE40 A 80 MM DE H20, CATETER CEFALICO O VENTRICULAR DE 15 CM MINIMO DE LONGITUD YCATETER PERITONEAL DE 85 CM MINIMO DE LONGITUD. INCLUYE: ADITAMENTOS PARA SUCOLOCACION. ESTERIL Y DESECHABLE. TAMANO: INFANTIL.</v>
          </cell>
          <cell r="U3044">
            <v>212</v>
          </cell>
          <cell r="V3044">
            <v>528</v>
          </cell>
        </row>
        <row r="3045">
          <cell r="A3045">
            <v>3042</v>
          </cell>
          <cell r="B3045" t="str">
            <v>060.932.2748</v>
          </cell>
          <cell r="E3045" t="str">
            <v>VALVULAS PARA DERIVACION DE LIQUIDO CEFALORRAQUIDEO, DE RESORTE, PRESION MEDIADE 80 A 120 MM DE H20, CATETER CEFALICO O VENTRICULAR DE 15 CM MINIMO DELONGITUD Y CATETER PERITONEAL DE 85 CM MINIMO DE LONGITUD. INCLUYE ADITAMENTOSPARA SU COLOCACION. ESTERIL Y DESECHABLE. TAMANO: INFANTIL.</v>
          </cell>
          <cell r="U3045">
            <v>981</v>
          </cell>
          <cell r="V3045">
            <v>2451</v>
          </cell>
        </row>
        <row r="3046">
          <cell r="A3046">
            <v>3043</v>
          </cell>
          <cell r="B3046" t="str">
            <v>060.932.2755</v>
          </cell>
          <cell r="E3046" t="str">
            <v>VALVULAS. PARA DERIVACION DE LIQUIDO CEFALORRAQUIDEO, DE RESORTE, PRESION ALTADE 120 A 170 MM DE H20, CATETER CEFALICO O VENTRICULAR DE 15 CM MINIMO DELONGITUD Y CATETER PERITONEAL DE 85 CM MINIMO DE LONGITUD. INCLUYE: ADITAMENTOSPARA SU COLOCACION. ESTERIL Y DESECHABLE. TAMANO: INFANTIL. PIEZA.</v>
          </cell>
          <cell r="U3046">
            <v>455</v>
          </cell>
          <cell r="V3046">
            <v>1134</v>
          </cell>
        </row>
        <row r="3047">
          <cell r="A3047">
            <v>3044</v>
          </cell>
          <cell r="B3047" t="str">
            <v>060.932.2763</v>
          </cell>
          <cell r="E3047" t="str">
            <v>VALVULAS PARA DERIVACION DE LIQUIDO CEFALORRAQUIDEO, DE RESORTE, PRESION MUYALTA DE 170 A 230 MM DE H20, CATETER CEFALICO O VENTRICULAR DE 15 CM MINIMO DELONGITUD Y CATETER PERITONEAL DE 85 CM MINIMO DE LONGITUD. INCLUYE: ADITAMENTOSPARA SU COLOCACION. ESTERIL Y DESECHABLE. TAMANO: INFANTIL.</v>
          </cell>
          <cell r="U3047">
            <v>56</v>
          </cell>
          <cell r="V3047">
            <v>139</v>
          </cell>
        </row>
        <row r="3048">
          <cell r="A3048">
            <v>3045</v>
          </cell>
          <cell r="B3048" t="str">
            <v>060.932.2789</v>
          </cell>
          <cell r="E3048" t="str">
            <v>VALVULAS PARA DERIVACION DE LIQUIDO CEFALORRAQUIDEO, DE DIAFRAGMA, PRESION BAJADE 40 A 80 MM DE H2O, CATETER CEFALICO O VENTRICULAR DE 15 CM MINIMO DELONGITUD Y CATETER PERITONEAL DE 85 CM MINIMO DE LONGITUD. INCLUYE: ADITAMENTOSPARA SU COLOCACION. ESTERIL Y DESECHABLE. TAMANO: INFANTIL.</v>
          </cell>
          <cell r="U3048">
            <v>315</v>
          </cell>
          <cell r="V3048">
            <v>786</v>
          </cell>
        </row>
        <row r="3049">
          <cell r="A3049">
            <v>3046</v>
          </cell>
          <cell r="B3049" t="str">
            <v>060.932.2797</v>
          </cell>
          <cell r="E3049" t="str">
            <v>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INFANTIL PIEZA.</v>
          </cell>
          <cell r="U3049">
            <v>2573</v>
          </cell>
          <cell r="V3049">
            <v>6430</v>
          </cell>
        </row>
        <row r="3050">
          <cell r="A3050">
            <v>3047</v>
          </cell>
          <cell r="B3050" t="str">
            <v>060.932.2805</v>
          </cell>
          <cell r="E3050" t="str">
            <v>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INFANTIL PIEZA.</v>
          </cell>
          <cell r="U3050">
            <v>255</v>
          </cell>
          <cell r="V3050">
            <v>635</v>
          </cell>
        </row>
        <row r="3051">
          <cell r="A3051">
            <v>3048</v>
          </cell>
          <cell r="B3051" t="str">
            <v>060.932.5097</v>
          </cell>
          <cell r="E3051" t="str">
            <v>VALVULAS PARA DERIVACION DE LIQUIDO CEFALORRAQUIDEO, CON REGULACION POR FLUJO,CATETER CEFALICO O VENTRICULAR DE 15 CM MINIMO DE LONGITUD Y CATETER PERITONEALDE 85 CM MINIMO DE LONGITUD. INCLUYE: ADITAMENTOS PARA SU COLOCACION ESTERIL YDESECHABLE.</v>
          </cell>
          <cell r="U3051">
            <v>344</v>
          </cell>
          <cell r="V3051">
            <v>858</v>
          </cell>
        </row>
        <row r="3052">
          <cell r="A3052">
            <v>3049</v>
          </cell>
          <cell r="B3052" t="str">
            <v>060.932.5931</v>
          </cell>
          <cell r="E3052" t="str">
            <v>PROTESIS VALVULAR CARDIACA MECANICA, MITRAL BIVALVA, DE CARBON PIROLITACAL 16 O  17.</v>
          </cell>
          <cell r="U3052">
            <v>192</v>
          </cell>
          <cell r="V3052">
            <v>477</v>
          </cell>
        </row>
        <row r="3053">
          <cell r="A3053">
            <v>3050</v>
          </cell>
          <cell r="B3053" t="str">
            <v>060.932.6426</v>
          </cell>
          <cell r="E3053" t="str">
            <v>VÁLVULAS. PARA GLAUCOMA DE ELASTÓMERO DE SILICÓN. ESTÉRIL. ESPESOR. 13.0 MM. LONGITUD. 15 MM. SUPERFICIE.184 MM2. PIEZA.</v>
          </cell>
          <cell r="U3053">
            <v>2889</v>
          </cell>
          <cell r="V3053">
            <v>7221</v>
          </cell>
        </row>
        <row r="3054">
          <cell r="A3054">
            <v>3051</v>
          </cell>
          <cell r="B3054" t="str">
            <v>060.932.6434</v>
          </cell>
          <cell r="E3054" t="str">
            <v>VÁLVULAS. PARA GLAUCOMA DE ELASTÓMERO DE SILICÓN. ESTÉRIL. ESPESOR. 9.6 MM LONGITUD 10 MM SUPERFICIE.96 MM2. PIEZA.</v>
          </cell>
          <cell r="U3054">
            <v>368</v>
          </cell>
          <cell r="V3054">
            <v>920</v>
          </cell>
        </row>
        <row r="3055">
          <cell r="A3055">
            <v>3052</v>
          </cell>
          <cell r="B3055" t="str">
            <v>060.932.6640</v>
          </cell>
          <cell r="E3055" t="str">
            <v>VALVULAS. PARA DERIVACION DE LIQUIDO CEFALORRAQUIDEO, DE RESORTE, PRESION MUYBAJA DE 15 A 40 MM DE H2O, CATETER CEFALICO O VENTRICULAR DE  15 CM MINIMO DELONGITUD Y CATETER PERITONEAL DE 85 CM MINIMO DE LONGITUD. INCLUYE: ADITAMENTOSPARA SU COLOCACION. ESTERIL Y DESECHABLE. TAMANO: NEONATAL. PIEZA.</v>
          </cell>
          <cell r="U3055">
            <v>106</v>
          </cell>
          <cell r="V3055">
            <v>263</v>
          </cell>
        </row>
        <row r="3056">
          <cell r="A3056">
            <v>3053</v>
          </cell>
          <cell r="B3056" t="str">
            <v>060.932.6657</v>
          </cell>
          <cell r="E3056" t="str">
            <v>VALVULAS. PARA DERIVACION DE LIQUIDO CEFALORRAQUIDEO, DE RESORTE, PRESION BAJADE 40 A 80 MM DE H2O, CATETER CEFALICO O VENTRICULAR DE 15 CM MINIMO DELONGITUD Y CATETER PERITONEAL DE 85 CM MINIMO DE LONGITUD. INCLUYE: ADITAMENTOSPARA SU COLOCACION. ESTERIL Y DESECHABLE. TAMANO: NEONATAL.</v>
          </cell>
          <cell r="U3056">
            <v>203</v>
          </cell>
          <cell r="V3056">
            <v>505</v>
          </cell>
        </row>
        <row r="3057">
          <cell r="A3057">
            <v>3054</v>
          </cell>
          <cell r="B3057" t="str">
            <v>060.932.6665</v>
          </cell>
          <cell r="E3057" t="str">
            <v>VALVULAS. PARA DERIVACION DE LIQUIDO CEFALORRAQUIDEO, DE RESORTE, PRESION MEDIADE 80 A 120 MM DE H2O, CATETER CEFALICO O VENTRICULAR DE 15 CM MINIMO  DELONGITUD Y CATETER PERITONEAL DE 85 CM MINIMO DE LONGITUD. INCLUYE: ADITAMENTOSPARA SU COLOCACION. ESTERIL Y DESECHABLE. TAMANO: NEONATAL.</v>
          </cell>
          <cell r="U3057">
            <v>789</v>
          </cell>
          <cell r="V3057">
            <v>1972</v>
          </cell>
        </row>
        <row r="3058">
          <cell r="A3058">
            <v>3055</v>
          </cell>
          <cell r="B3058" t="str">
            <v>060.932.6681</v>
          </cell>
          <cell r="E3058" t="str">
            <v>VALVULAS. PARA DERIVACION DE LIQUIDO CEFALORRAQUIDEO, DE DIAFRAGMA, PRESION BAJADE 40 A 80 MM DE H2O, CATETER CEFALICO O VENTRICULAR DE 15 CM MINIMO   DELONGITUD Y CATETER PERITONEAL DE 85 CM MINIMO DE LONGITUD. INCLUYE: ADITAMENTOSPARA SU COLOCACION. ESTERIL Y DESECHABLE. TAMANO: NEONATAL. PIEZA.</v>
          </cell>
          <cell r="U3058">
            <v>108</v>
          </cell>
          <cell r="V3058">
            <v>268</v>
          </cell>
        </row>
        <row r="3059">
          <cell r="A3059">
            <v>3056</v>
          </cell>
          <cell r="B3059" t="str">
            <v>060.932.6699</v>
          </cell>
          <cell r="E3059" t="str">
            <v>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 NEONATAL. PIEZA.</v>
          </cell>
          <cell r="U3059">
            <v>393</v>
          </cell>
          <cell r="V3059">
            <v>979</v>
          </cell>
        </row>
        <row r="3060">
          <cell r="A3060">
            <v>3057</v>
          </cell>
          <cell r="B3060" t="str">
            <v>060.932.6707</v>
          </cell>
          <cell r="E3060" t="str">
            <v>VALVULAS. PARA DERIVACION DE LIQUIDO CEFALORRAQUIDEO, DE PRESION PROGRAMABLE,CON CATETER CEFALICO O VENTRICULAR DE 15 CM MINIMO DE LONGITUD Y CATETERPERITONEAL DE 85 CM MINIMO DE LONGITUD. INCLUYE: ADITAMENTOS PARA SU COLOCACION.ESTERIL Y DESECHABLE. PIEZA.</v>
          </cell>
          <cell r="U3060">
            <v>87</v>
          </cell>
          <cell r="V3060">
            <v>216</v>
          </cell>
        </row>
        <row r="3061">
          <cell r="A3061">
            <v>3058</v>
          </cell>
          <cell r="B3061" t="str">
            <v>060.939.0059</v>
          </cell>
          <cell r="E3061" t="str">
            <v>VASELINA. LIQUIDA. ENVASE CON 18 LTS.</v>
          </cell>
          <cell r="U3061">
            <v>943</v>
          </cell>
          <cell r="V3061">
            <v>2356</v>
          </cell>
        </row>
        <row r="3062">
          <cell r="A3062">
            <v>3059</v>
          </cell>
          <cell r="B3062" t="str">
            <v>060.946.0019</v>
          </cell>
          <cell r="E3062" t="str">
            <v>Vasos. Para medicamentos. De vidrio capacidad: 30 ml (1 onza). Pieza.</v>
          </cell>
          <cell r="U3062">
            <v>60924</v>
          </cell>
          <cell r="V3062">
            <v>152309</v>
          </cell>
        </row>
        <row r="3063">
          <cell r="A3063">
            <v>3060</v>
          </cell>
          <cell r="B3063" t="str">
            <v>060.946.0035</v>
          </cell>
          <cell r="E3063" t="str">
            <v>Vasos. Para medicamentos. De plástico capacidad: 30 ml (1 onza). Pieza.</v>
          </cell>
          <cell r="U3063">
            <v>9</v>
          </cell>
          <cell r="V3063">
            <v>21</v>
          </cell>
        </row>
        <row r="3064">
          <cell r="A3064">
            <v>3061</v>
          </cell>
          <cell r="B3064" t="str">
            <v>060.946.0142</v>
          </cell>
          <cell r="E3064" t="str">
            <v>VASOS. VASO DE VIDRIO CON CUELLO EN FORMA DE BOTELLA CON BASE DE 3 CM. DEDIAMETRO Y BOCA DEL VASO DE 2.5 CM DE DIAMETRO INTERNO CON BORDES REDONDEADOS,CON CAPACIDAD DE 30 ML, PARED LISA DE 3 MM DE ESPESOR EN EL CUERPO Y EN LA BASE,CON AFORO Y ESCUDO INSTITUCIONAL EN LA PARED EXTERNA DE VASO, GRADUADO CADA 10ML. PIEZA.</v>
          </cell>
          <cell r="U3064">
            <v>5628</v>
          </cell>
          <cell r="V3064">
            <v>14069</v>
          </cell>
        </row>
        <row r="3065">
          <cell r="A3065">
            <v>3062</v>
          </cell>
          <cell r="B3065" t="str">
            <v>060.953.0092</v>
          </cell>
          <cell r="E3065" t="str">
            <v>Vendas. Elástica adhesiva. De algodón y fibra sintética con adhesivo en una de sus caras. Longitud Ancho. 2.7 m. 10.0 cm. Pieza.</v>
          </cell>
          <cell r="U3065">
            <v>96621</v>
          </cell>
          <cell r="V3065">
            <v>241551</v>
          </cell>
        </row>
        <row r="3066">
          <cell r="A3066">
            <v>3063</v>
          </cell>
          <cell r="B3066" t="str">
            <v>060.953.0100</v>
          </cell>
          <cell r="E3066" t="str">
            <v>Vendas. Elástica adhesiva. De algodón y fibra sintética con adhesivo en una de sus caras. Longitud Ancho. 2.7 m. 7.5 cm. Pieza.</v>
          </cell>
          <cell r="U3066">
            <v>41627</v>
          </cell>
          <cell r="V3066">
            <v>104064</v>
          </cell>
        </row>
        <row r="3067">
          <cell r="A3067">
            <v>3064</v>
          </cell>
          <cell r="B3067" t="str">
            <v>060.953.0209</v>
          </cell>
          <cell r="E3067" t="str">
            <v>Vendas. De gasa de algodón. Longitud: Ancho: 2.7 m. 5 cm. Pieza.</v>
          </cell>
          <cell r="U3067">
            <v>110287</v>
          </cell>
          <cell r="V3067">
            <v>275714</v>
          </cell>
        </row>
        <row r="3068">
          <cell r="A3068">
            <v>3065</v>
          </cell>
          <cell r="B3068" t="str">
            <v>060.953.0266</v>
          </cell>
          <cell r="E3068" t="str">
            <v>Vendas. De goma (Smarch). De hule natural grado médico. Longitud: 2.7 M Ancho: 6 cm. Pieza.</v>
          </cell>
          <cell r="U3068">
            <v>18167</v>
          </cell>
          <cell r="V3068">
            <v>45415</v>
          </cell>
        </row>
        <row r="3069">
          <cell r="A3069">
            <v>3066</v>
          </cell>
          <cell r="B3069" t="str">
            <v>060.953.0282</v>
          </cell>
          <cell r="E3069" t="str">
            <v>Vendas. De goma (Smarch). De hule natural grado médico. Longitud: 2.7 M Ancho: 8 cm. Pieza.</v>
          </cell>
          <cell r="U3069">
            <v>39920</v>
          </cell>
          <cell r="V3069">
            <v>99799</v>
          </cell>
        </row>
        <row r="3070">
          <cell r="A3070">
            <v>3067</v>
          </cell>
          <cell r="B3070" t="str">
            <v>060.953.0456</v>
          </cell>
          <cell r="E3070" t="str">
            <v>Vendas. Enyesadas de gasa de algodón recubiertas de una capa uniforme de yeso grado médico. Longitud: Ancho: 2.75 m. 5 cm. Envase con 12 piezas.</v>
          </cell>
          <cell r="U3070">
            <v>72084</v>
          </cell>
          <cell r="V3070">
            <v>180208</v>
          </cell>
        </row>
        <row r="3071">
          <cell r="A3071">
            <v>3068</v>
          </cell>
          <cell r="B3071" t="str">
            <v>060.953.0555</v>
          </cell>
          <cell r="E3071" t="str">
            <v>Vendas. Enyesadas de gasa de algodón recubiertas de una capa uniforme de yeso grado médico. Longitud: Ancho: 2.75 m. 10 cm. Envase con 12 piezas.</v>
          </cell>
          <cell r="U3071">
            <v>231071</v>
          </cell>
          <cell r="V3071">
            <v>577676</v>
          </cell>
        </row>
        <row r="3072">
          <cell r="A3072">
            <v>3069</v>
          </cell>
          <cell r="B3072" t="str">
            <v>060.953.0571</v>
          </cell>
          <cell r="E3072" t="str">
            <v>Vendas. Enyesadas de gasa de algodón recubiertas de una capa uniforme de yeso grado médico. Longitud: Ancho: 2.75 m. 15 cm. Envase con 12 piezas.</v>
          </cell>
          <cell r="U3072">
            <v>183707</v>
          </cell>
          <cell r="V3072">
            <v>459266</v>
          </cell>
        </row>
        <row r="3073">
          <cell r="A3073">
            <v>3070</v>
          </cell>
          <cell r="B3073" t="str">
            <v>060.953.0597</v>
          </cell>
          <cell r="E3073" t="str">
            <v>Vendas. Enyesadas de gasa de algodón recubiertas de una capa uniforme de yeso grado médico. Longitud: Ancho: 2.75 m. 20 cm. Envase con 12 piezas.</v>
          </cell>
          <cell r="U3073">
            <v>42790</v>
          </cell>
          <cell r="V3073">
            <v>106974</v>
          </cell>
        </row>
        <row r="3074">
          <cell r="A3074">
            <v>3071</v>
          </cell>
          <cell r="B3074" t="str">
            <v>060.953.0746</v>
          </cell>
          <cell r="E3074" t="str">
            <v>Vendas. De malla elástica. Forma tubular. Longitud: Número: 100 m. 1. Envase con 100 m.</v>
          </cell>
          <cell r="U3074">
            <v>16452</v>
          </cell>
          <cell r="V3074">
            <v>41127</v>
          </cell>
        </row>
        <row r="3075">
          <cell r="A3075">
            <v>3072</v>
          </cell>
          <cell r="B3075" t="str">
            <v>060.953.0753</v>
          </cell>
          <cell r="E3075" t="str">
            <v>Vendas. De malla elástica. Forma tubular. Longitud: Número: 100 m. 2. Envase con 100 m.</v>
          </cell>
          <cell r="U3075">
            <v>16541</v>
          </cell>
          <cell r="V3075">
            <v>41352</v>
          </cell>
        </row>
        <row r="3076">
          <cell r="A3076">
            <v>3073</v>
          </cell>
          <cell r="B3076" t="str">
            <v>060.953.0761</v>
          </cell>
          <cell r="E3076" t="str">
            <v>Vendas. De malla elástica. Forma tubular. Longitud: Número: 100 m. 3. Envase con 100 m.</v>
          </cell>
          <cell r="U3076">
            <v>22376</v>
          </cell>
          <cell r="V3076">
            <v>55940</v>
          </cell>
        </row>
        <row r="3077">
          <cell r="A3077">
            <v>3074</v>
          </cell>
          <cell r="B3077" t="str">
            <v>060.953.0779</v>
          </cell>
          <cell r="E3077" t="str">
            <v>Vendas. De malla elástica. Forma tubular. Longitud: Número: 100 m. 4. Envase con 100 m.</v>
          </cell>
          <cell r="U3077">
            <v>21251</v>
          </cell>
          <cell r="V3077">
            <v>53124</v>
          </cell>
        </row>
        <row r="3078">
          <cell r="A3078">
            <v>3075</v>
          </cell>
          <cell r="B3078" t="str">
            <v>060.953.0787</v>
          </cell>
          <cell r="E3078" t="str">
            <v>Vendas. De malla elástica. Forma tubular. Longitud: Número: 100 m. 5. Envase con 100 m.</v>
          </cell>
          <cell r="U3078">
            <v>23945</v>
          </cell>
          <cell r="V3078">
            <v>59860</v>
          </cell>
        </row>
        <row r="3079">
          <cell r="A3079">
            <v>3076</v>
          </cell>
          <cell r="B3079" t="str">
            <v>060.953.0795</v>
          </cell>
          <cell r="E3079" t="str">
            <v>Vendas. De malla elástica. Forma tubular. Longitud: Número: 100 m. 6. Envase con 100 m.</v>
          </cell>
          <cell r="U3079">
            <v>27263</v>
          </cell>
          <cell r="V3079">
            <v>68154</v>
          </cell>
        </row>
        <row r="3080">
          <cell r="A3080">
            <v>3077</v>
          </cell>
          <cell r="B3080" t="str">
            <v>060.953.0936</v>
          </cell>
          <cell r="E3080" t="str">
            <v>GUATAS. TUBULAR DE ALGODON ESTOQUINETE Y DIMENSIONES INTERMEDIAS ENTRE LASESPECIFICADAS. LONGITUD: 22.81 M ANCHO: 20.3 CM. ROLLO.</v>
          </cell>
          <cell r="U3080">
            <v>36410</v>
          </cell>
          <cell r="V3080">
            <v>91022</v>
          </cell>
        </row>
        <row r="3081">
          <cell r="A3081">
            <v>3078</v>
          </cell>
          <cell r="B3081" t="str">
            <v>060.953.0969</v>
          </cell>
          <cell r="E3081" t="str">
            <v>GUATAS. TUBULAR DE ALGODÓN ESTOQUINETE Y DIMENSIONES INTERMEDIAS ENTRE LAS ESPECIFICADAS. LONGITUD : 22.81 M ANCHO: 7.5 CM. ROLLO.</v>
          </cell>
          <cell r="U3081">
            <v>36229</v>
          </cell>
          <cell r="V3081">
            <v>90572</v>
          </cell>
        </row>
        <row r="3082">
          <cell r="A3082">
            <v>3079</v>
          </cell>
          <cell r="B3082" t="str">
            <v>060.953.1603</v>
          </cell>
          <cell r="E3082" t="str">
            <v>Vendas. De gasa de algodón. Longitud: Ancho: 2.7 m. 10 cm. Pieza.</v>
          </cell>
          <cell r="U3082">
            <v>173164</v>
          </cell>
          <cell r="V3082">
            <v>432906</v>
          </cell>
        </row>
        <row r="3083">
          <cell r="A3083">
            <v>3080</v>
          </cell>
          <cell r="B3083" t="str">
            <v>060.953.2825</v>
          </cell>
          <cell r="E3083" t="str">
            <v>Vendas. Elásticas de tejido plano ; de algodón con fibras sintéticas. Longitud: 5 M Ancho: 30 cm. Envase con una pieza.</v>
          </cell>
          <cell r="U3083">
            <v>2662602</v>
          </cell>
          <cell r="V3083">
            <v>6656505</v>
          </cell>
        </row>
        <row r="3084">
          <cell r="A3084">
            <v>3081</v>
          </cell>
          <cell r="B3084" t="str">
            <v>060.953.2858</v>
          </cell>
          <cell r="E3084" t="str">
            <v>Vendas. Elásticas de tejido plano ; de algodón con fibras sintéticas. Longitud: 5 M Ancho: 5 cm. Envase con 12 piezas.</v>
          </cell>
          <cell r="U3084">
            <v>743675</v>
          </cell>
          <cell r="V3084">
            <v>1859185</v>
          </cell>
        </row>
        <row r="3085">
          <cell r="A3085">
            <v>3082</v>
          </cell>
          <cell r="B3085" t="str">
            <v>060.953.2866</v>
          </cell>
          <cell r="E3085" t="str">
            <v>Vendas. Elásticas de tejido plano ; de algodón con fibras sintéticas. Longitud: 5 M Ancho: 10 cm. Envase con 12 piezas.</v>
          </cell>
          <cell r="U3085">
            <v>1169855</v>
          </cell>
          <cell r="V3085">
            <v>2924634</v>
          </cell>
        </row>
        <row r="3086">
          <cell r="A3086">
            <v>3083</v>
          </cell>
          <cell r="B3086" t="str">
            <v>060.953.2874</v>
          </cell>
          <cell r="E3086" t="str">
            <v>Vendas. Elásticas de tejido plano ; de algodón con fibras sintéticas. Longitud: 5 M Ancho: 15 cm. Envase con 12 piezas.</v>
          </cell>
          <cell r="U3086">
            <v>884240</v>
          </cell>
          <cell r="V3086">
            <v>2210600</v>
          </cell>
        </row>
        <row r="3087">
          <cell r="A3087">
            <v>3084</v>
          </cell>
          <cell r="B3087" t="str">
            <v>060.953.3195</v>
          </cell>
          <cell r="E3087" t="str">
            <v>Guatas. Tubular de algodón estoquinete y dimensiones intermedias entre las especificadas. Longitud : 22.81 M Ancho: 15.0 cm. Rollo.</v>
          </cell>
          <cell r="U3087">
            <v>88755</v>
          </cell>
          <cell r="V3087">
            <v>221885</v>
          </cell>
        </row>
        <row r="3088">
          <cell r="A3088">
            <v>3085</v>
          </cell>
          <cell r="B3088" t="str">
            <v>060.953.3203</v>
          </cell>
          <cell r="E3088" t="str">
            <v>GUATAS. TUBULAR DE ALGODON ESTOQUINETE Y DIMENSIONES INTERMEDIAS ENTRE LASESPECIFICADAS. LONGITUD: 22.81 M ANCHO: 30.0 CM. ROLLO.</v>
          </cell>
          <cell r="U3088">
            <v>264748</v>
          </cell>
          <cell r="V3088">
            <v>661866</v>
          </cell>
        </row>
        <row r="3089">
          <cell r="A3089">
            <v>3086</v>
          </cell>
          <cell r="B3089" t="str">
            <v>060.953.3252</v>
          </cell>
          <cell r="E3089" t="str">
            <v>Vendas. Venda inmovilizadora de fibra de vidrio con recubrimiento ahulado en todas sus fibras impregnada de resina de poliuretano que al contacto con el agua provoca una reacción química de fraguado con guante de hule longitud 3.65 M. Ancho: 5.0 cm. Pieza.</v>
          </cell>
          <cell r="U3089">
            <v>57628</v>
          </cell>
          <cell r="V3089">
            <v>144067</v>
          </cell>
        </row>
        <row r="3090">
          <cell r="A3090">
            <v>3087</v>
          </cell>
          <cell r="B3090" t="str">
            <v>060.953.3278</v>
          </cell>
          <cell r="E3090" t="str">
            <v>Vendas. Venda inmovilizadora de fibra de vidrio con recubrimiento ahulado en todas sus fibras impregnada de resina de poliuretano que al contacto con el agua provoca una reacción química de fraguado con guante de hule longitud 3.65 M. Ancho: 10.0 cm. Pieza.</v>
          </cell>
          <cell r="U3090">
            <v>51630</v>
          </cell>
          <cell r="V3090">
            <v>129074</v>
          </cell>
        </row>
        <row r="3091">
          <cell r="A3091">
            <v>3088</v>
          </cell>
          <cell r="B3091" t="str">
            <v>060.960.0011</v>
          </cell>
          <cell r="E3091" t="str">
            <v>AEROSOL PARA TRATAMIENTO DE HERIDAS. AEROSOL PARA EL TRATAMIENTO DE HERIDAS ELCUAL ES AUXILIAR EN EL TRATAMIENTO DE HERIDAS DE ULCERA DIABETICA. - 88.35% DEAGUA - 10% DE HEMOGLOBINA - 0.9% DE CLORURO DE SODIO - 0.7% DE FENOSIETANOL(2-PHENOXI- ETANOL) - 0.05% DE ACETILCISTEINA (N-ACETYL- CYSTINE) CAJA CONFRASCO AEROSOL DE ALUMINIO CON 12 ML</v>
          </cell>
          <cell r="U3091">
            <v>4031</v>
          </cell>
          <cell r="V3091">
            <v>10075</v>
          </cell>
        </row>
        <row r="3092">
          <cell r="A3092">
            <v>3089</v>
          </cell>
          <cell r="B3092" t="str">
            <v>060.960.0016</v>
          </cell>
          <cell r="E3092" t="str">
            <v>AGUJA PARA RAQUIANESTESIA O BLOQUEO SUBARACNOIDEO. DE ACERO INOXIDABLE, PUNTATIPO LAPIZ, CONECTOR ROSCADO LUER LOCK HEMBRA TRANSLUCIDO Y MANDRIL CON BOTONINDICADOR; SIN DEPOSITO DE 0.2 ML EN PABELLON PARA LIQUIDO CEFALORRAQUIDEO.ESTERIL Y DESECHABLE. TIPO: WHITACRE. LONGITUD: 11.6 A 11.9 CM. CALIBRE: 25 O 27G. PIEZA.</v>
          </cell>
          <cell r="U3092">
            <v>47752</v>
          </cell>
          <cell r="V3092">
            <v>119378</v>
          </cell>
        </row>
        <row r="3093">
          <cell r="A3093">
            <v>3090</v>
          </cell>
          <cell r="B3093" t="str">
            <v>060.960.0023</v>
          </cell>
          <cell r="E3093" t="str">
            <v>RESINAS. FOTOPOLIMERIZABLE PARA RESTAURACION DE DIENTES ANTERIORES YPOSTERIORES. JERINGA 4.5 G. LAS INSTITUCIONES PODRAN ELEGIR LAS VARIANTES DECOLOR Y COMPOSICION.</v>
          </cell>
          <cell r="U3093">
            <v>67061</v>
          </cell>
          <cell r="V3093">
            <v>167651</v>
          </cell>
        </row>
        <row r="3094">
          <cell r="A3094">
            <v>3091</v>
          </cell>
          <cell r="B3094" t="str">
            <v>060.960.0024</v>
          </cell>
          <cell r="E3094" t="str">
            <v>Restaurador en bloque de vidrio hibrido / capa autoadhesiva fotopolimerizable resistente a la abrasión (Cemento dental de resina compuesta). Presentación: Intro kit 20 Caps totales (A1, A2, A3 &amp; B1 ).</v>
          </cell>
          <cell r="U3094">
            <v>48916</v>
          </cell>
          <cell r="V3094">
            <v>122288</v>
          </cell>
        </row>
        <row r="3095">
          <cell r="A3095">
            <v>3092</v>
          </cell>
          <cell r="B3095" t="str">
            <v>060.960.0043</v>
          </cell>
          <cell r="E3095" t="str">
            <v>AGUJA PARA RAQUIANESTESIA O BLOQUEO SUBARACNOIDEO. DE ACERO INOXIDABLE, PUNTATIPO LAPIZ, CONECTOR ROSCADO LUER LOCK HEMBRA TRANSLUCIDO Y MANDRIL CON BOTONINDICADOR; SIN DEPOSITO DE 0.2ML EN PABELLON PARA LIQUIDO CEFALORRAQUIDEO.ESTERIL Y DESECHABLE. TIPO: WHITACRE. LONGITUD: 8.7 A 9.1 CM. CALIBRE: 22 G.PIEZA.</v>
          </cell>
          <cell r="U3095">
            <v>12792</v>
          </cell>
          <cell r="V3095">
            <v>31980</v>
          </cell>
        </row>
        <row r="3096">
          <cell r="A3096">
            <v>3093</v>
          </cell>
          <cell r="B3096" t="str">
            <v>070.426.0025</v>
          </cell>
          <cell r="E3096" t="str">
            <v>SOLUCIONES PARA REVELADO Y FIJADO. PARA PROCESADORA AUTOMATICA. FIJADORCONCENTRADO PARA PREPARAR 76 LITROS (LA MARCA DE ESTE PRODUCTO DEBE SER LA MISMADE LA CLAVE 070.817.0543).</v>
          </cell>
          <cell r="U3096">
            <v>476</v>
          </cell>
          <cell r="V3096">
            <v>1189</v>
          </cell>
        </row>
        <row r="3097">
          <cell r="A3097">
            <v>3094</v>
          </cell>
          <cell r="B3097" t="str">
            <v>070.426.0363</v>
          </cell>
          <cell r="E3097" t="str">
            <v>SOLUCIONES PARA REVELADO Y FIJADO. SOLUCION PARA FIJADO PARA SISTEMA MANUAL DEFIJADOR CONCENTRADO. ENVASE 828 ML. (LA MARCA DE ESTE PRODUCTO DEBE SER LA MISMADE LA CLAVE 070.817.0550).</v>
          </cell>
          <cell r="U3097">
            <v>338</v>
          </cell>
          <cell r="V3097">
            <v>844</v>
          </cell>
        </row>
        <row r="3098">
          <cell r="A3098">
            <v>3095</v>
          </cell>
          <cell r="B3098" t="str">
            <v>070.426.0371</v>
          </cell>
          <cell r="E3098" t="str">
            <v>SOLUCIONES PARA REVELADO Y FIJADO. SOLUCION PARA FIJADO PARA SISTEMA MANUAL DEFIJADOR CONCENTRADO. ENVASE 1 LTS. (LA MARCA DE ESTE PRODUCTO DEBE SER LA MISMADE LA CLAVE 070.817.0568).</v>
          </cell>
          <cell r="U3098">
            <v>1564</v>
          </cell>
          <cell r="V3098">
            <v>3908</v>
          </cell>
        </row>
        <row r="3099">
          <cell r="A3099">
            <v>3096</v>
          </cell>
          <cell r="B3099" t="str">
            <v>070.581.0091</v>
          </cell>
          <cell r="E3099" t="str">
            <v>MEDIOS DE CONTRASTE. GRUPO 2. MEDIOS DE CONTRASTE HIDROSOLUBLES NO IONICOS.MEDIOS DE CONTRASTE HIDROSOLUBLES NO IONICOS EN CONCENTRACION DE 300 A 320 MGI/ML IOVERSOL, IOPAMIDOL, IOHEXOL, IOPROMIDA, IOBITRIDOL. FRASCO CON 20 ML.</v>
          </cell>
          <cell r="U3099">
            <v>57172</v>
          </cell>
          <cell r="V3099">
            <v>142929</v>
          </cell>
        </row>
        <row r="3100">
          <cell r="A3100">
            <v>3097</v>
          </cell>
          <cell r="B3100" t="str">
            <v>070.581.0109</v>
          </cell>
          <cell r="E3100" t="str">
            <v>Medios de contraste hidrosolubles no iónicos. Medios de contraste hidrosolubles no iónicos en concentración de 300 a 320 mg I/ml Ioversol, Iopamidol, Iohexol, Iopromida, Iobitridol, Iodixanol. Frasco con 50 ml.</v>
          </cell>
          <cell r="U3100">
            <v>145895</v>
          </cell>
          <cell r="V3100">
            <v>364735</v>
          </cell>
        </row>
        <row r="3101">
          <cell r="A3101">
            <v>3098</v>
          </cell>
          <cell r="B3101" t="str">
            <v>070.581.0117</v>
          </cell>
          <cell r="E3101" t="str">
            <v>Medios de contraste hidrosolubles no iónicos. Medios de contraste hidrosolubles no iónicos en concentración de 300 a 320 mg I/ml Ioversol, Iopamidol, Iohexol, Iopromida, Iobitridol, Iodixanol. Frasco con 100 ml.</v>
          </cell>
          <cell r="U3101">
            <v>195001</v>
          </cell>
          <cell r="V3101">
            <v>487500</v>
          </cell>
        </row>
        <row r="3102">
          <cell r="A3102">
            <v>3099</v>
          </cell>
          <cell r="B3102" t="str">
            <v>070.581.0125</v>
          </cell>
          <cell r="E3102" t="str">
            <v>MEDIOS DE CONTRASTE. GRUPO 2. MEDIOS DE CONTRASTE HIDROSOLUBLES NO IONICOS.MEDIOS DE CONTRASTE HIDROSOLUBLES NO IONICOS EN CONCENTRACION DE 300 MG I/MLIOVERSOL, IOPAMIDOL, IOHEXOL, IOPROMIDA, IOBITRIDOL. ENVASE CON 200 ML. *INCLUYESISTEMA DE TRANSFERENCIA CON VALVULA ANTIRREFLUJO, FAJILLA Y ASA DE SUSPENSION.</v>
          </cell>
          <cell r="U3102">
            <v>121440</v>
          </cell>
          <cell r="V3102">
            <v>303600</v>
          </cell>
        </row>
        <row r="3103">
          <cell r="A3103">
            <v>3100</v>
          </cell>
          <cell r="B3103" t="str">
            <v>070.581.0133</v>
          </cell>
          <cell r="E3103" t="str">
            <v>Medios de contraste hidrosolubles no iónicos. Medios de contraste hidrosolubles no iónicos en concentración de 300 mg I/ml Ioversol, Iopamidol, Iohexol, Iopromida, Iobitridol. Envase con 500 ml. *Incluye sistema de transferencia con válvula antirreflujo, fajilla y asa de suspensión.</v>
          </cell>
          <cell r="U3103">
            <v>16182</v>
          </cell>
          <cell r="V3103">
            <v>40453</v>
          </cell>
        </row>
        <row r="3104">
          <cell r="A3104">
            <v>3101</v>
          </cell>
          <cell r="B3104" t="str">
            <v>070.581.0141</v>
          </cell>
          <cell r="E3104" t="str">
            <v>Medios de contraste hidrosolubles no iónicos. Medios de contraste hidrosolubles no iónicos en concentración de 350 a 370 mg I/ml Ioversol, Iopamidol, Iohexol, Iopromida, Iobitridol. Frasco con 50 ml.</v>
          </cell>
          <cell r="U3104">
            <v>174112</v>
          </cell>
          <cell r="V3104">
            <v>435280</v>
          </cell>
        </row>
        <row r="3105">
          <cell r="A3105">
            <v>3102</v>
          </cell>
          <cell r="B3105" t="str">
            <v>070.581.0158</v>
          </cell>
          <cell r="E3105" t="str">
            <v>MEDIOS DE CONTRASTE HIDROSOLUBLES NO IÓNICOS. MEDIOS DE CONTRASTE HIDROSOLUBLES NO IÓNICOS EN CONCENTRACIÓN DE 350 A 370 MG I/ML IOVERSOL IOPAMIDOL IOHEXOL IOPROMIDA IOBITRIDOL. FRASCO CON 100 ML.</v>
          </cell>
          <cell r="U3105">
            <v>355671</v>
          </cell>
          <cell r="V3105">
            <v>889176</v>
          </cell>
        </row>
        <row r="3106">
          <cell r="A3106">
            <v>3103</v>
          </cell>
          <cell r="B3106" t="str">
            <v>070.581.0166</v>
          </cell>
          <cell r="E3106" t="str">
            <v>MEDIOS DE CONTRASTE. GRUPO 2. MEDIOS DE CONTRASTE HIDROSOLUBLES NO IONICOS.MEDIOS DE CONTRASTE HIDROSOLUBLES NO IONICOS EN CONCENTRACION DE 240 A 270 MGI/ML. IOVERSOL, IOPAMIDOL, IOHEXOL, IOPROMIDA, IOBITRIDOL, IODIXANOL. FRASCO CON50 ML.</v>
          </cell>
          <cell r="U3106">
            <v>4900</v>
          </cell>
          <cell r="V3106">
            <v>12250</v>
          </cell>
        </row>
        <row r="3107">
          <cell r="A3107">
            <v>3104</v>
          </cell>
          <cell r="B3107" t="str">
            <v>070.581.0174</v>
          </cell>
          <cell r="E3107" t="str">
            <v>MEDIOS DE CONTRASTE. GRUPO 2. MEDIOS DE CONTRASTE HIDROSOLUBLES NO IONICOS.MEDIOS DE CONTRASTE HIDROSOLUBLES NO IONICOS EN CONCENTRACION DE 240 A 250 MGI/ML IOVERSOL, IOPAMIDOL, IOHEXOL, IOPROMIDA, IOBITRIDOL ENVASE CON 200 ML.*INCLUYE SISTEMA DE TRANSFERENCIA CON VALVULA ANTIRREFLUJO, FAJILLA Y ASA DESUSPENSION.</v>
          </cell>
          <cell r="U3107">
            <v>13002</v>
          </cell>
          <cell r="V3107">
            <v>32502</v>
          </cell>
        </row>
        <row r="3108">
          <cell r="A3108">
            <v>3105</v>
          </cell>
          <cell r="B3108" t="str">
            <v>070.581.0182</v>
          </cell>
          <cell r="E3108" t="str">
            <v>MEDIOS DE CONTRASTE. MEDIOS DE CONTRASTE HIDROSOLUBLES NO IONICOS. ENCONCENTRACION DE 350 A 370 MG I/ML IOVERSOL, IOPAMIDOL, IOHEXOL, IOPROMIDA,IOBITRIDOL. ENVASE CON 500 ML. *INCLUYE SISTEMA DE TRANSFERENCIA CON VALVULAANTIRREFLUJO, FAJILLA Y ASA DE SUSPENSION.</v>
          </cell>
          <cell r="U3108">
            <v>13074</v>
          </cell>
          <cell r="V3108">
            <v>32684</v>
          </cell>
        </row>
        <row r="3109">
          <cell r="A3109">
            <v>3106</v>
          </cell>
          <cell r="B3109" t="str">
            <v>070.590.0017</v>
          </cell>
          <cell r="E3109" t="str">
            <v>Medios de contraste. Para estudios de tubo digestivo por vía oral o rectal. Sulfato de bario con correctivos de sabor polvo para administración oral. Bote con 5 Kg.</v>
          </cell>
          <cell r="U3109">
            <v>629</v>
          </cell>
          <cell r="V3109">
            <v>1569</v>
          </cell>
        </row>
        <row r="3110">
          <cell r="A3110">
            <v>3107</v>
          </cell>
          <cell r="B3110" t="str">
            <v>070.590.0033</v>
          </cell>
          <cell r="E3110" t="str">
            <v>MEDIOS DE CONTRASTE. DE APLICACIÓN POR VÍA BUCAL O RECTAL INDICACIÓN: ESTUDIOS DE TUBO DIGESTIVO. SULFATO DE BARIO. DE ALTA DENSIDAD POLVO. PARA ESTUDIOS DE DOBLE CONTRASTE (VÍA BUCAL). VASO DE PLÁSTICO DESECHABLE CON TAPA DE CIERRE HERMÉTICO CON 340 G.</v>
          </cell>
          <cell r="U3110">
            <v>36319</v>
          </cell>
          <cell r="V3110">
            <v>90795</v>
          </cell>
        </row>
        <row r="3111">
          <cell r="A3111">
            <v>3108</v>
          </cell>
          <cell r="B3111" t="str">
            <v>070.590.0041</v>
          </cell>
          <cell r="E3111" t="str">
            <v>Medios de Contraste. De aplicación por vía bucal o rectal indicación: estudios de tubo digestivo. Sulfato de bario. De alta densidad polvo. Para estudios doble contraste. Bote con 5 Kg.</v>
          </cell>
          <cell r="U3111">
            <v>3031</v>
          </cell>
          <cell r="V3111">
            <v>7575</v>
          </cell>
        </row>
        <row r="3112">
          <cell r="A3112">
            <v>3109</v>
          </cell>
          <cell r="B3112" t="str">
            <v>070.590.0058</v>
          </cell>
          <cell r="E3112" t="str">
            <v>Medios de Contraste. De aplicación por vía bucal o rectal indicación: estudios de tubo digestivo. Sulfato de bario. Polvo en bolsa desechable con acotaciones para 2 L con válvula desplazable regulador de plástico tipo pinza y cánula rectal normal. Bolsa con 454 g.</v>
          </cell>
          <cell r="U3112">
            <v>4</v>
          </cell>
          <cell r="V3112">
            <v>6</v>
          </cell>
        </row>
        <row r="3113">
          <cell r="A3113">
            <v>3110</v>
          </cell>
          <cell r="B3113" t="str">
            <v>070.590.0066</v>
          </cell>
          <cell r="E3113" t="str">
            <v>MEDIOS DE CONTRASTE. GRUPO 8. DE APLICACION POR VIA BUCAL O RECTAL INDICACION:ESTUDIOS DE TUBO DIGESTIVO. SULFATO DE BARIO. POLVO, EN BOLSA DESECHABLE CONACOTACIONES PARA 2 L, CON VALVULA DESPLAZABLE, REGULADOR DE PLASTICO TIPO PINZAY CANULA RECTAL DE RETENCION CON GLOBO INFLABLE. BOLSA CON 454 G.</v>
          </cell>
          <cell r="U3113">
            <v>33512</v>
          </cell>
          <cell r="V3113">
            <v>83778</v>
          </cell>
        </row>
        <row r="3114">
          <cell r="A3114">
            <v>3111</v>
          </cell>
          <cell r="B3114" t="str">
            <v>070.591.0016</v>
          </cell>
          <cell r="E3114" t="str">
            <v>MEDIOS DE CONTRASTE. GRUPO 8. DE APLICACION POR VIA BUCAL O RECTAL INDICACION:ESTUDIOS DE TUBO DIGESTIVO. SULFATO DE BARIO. GRANULADO EFERVESCENTE BICARBONATODE SODIO 0.460 G, ACIDO TARTARICO 0.420 G, SIMETICONA CBP 1 G. FRASCO AMPULA OAMPOLLETA CON 3 G.</v>
          </cell>
          <cell r="U3114">
            <v>3583</v>
          </cell>
          <cell r="V3114">
            <v>8954</v>
          </cell>
        </row>
        <row r="3115">
          <cell r="A3115">
            <v>3112</v>
          </cell>
          <cell r="B3115" t="str">
            <v>070.591.0032</v>
          </cell>
          <cell r="E3115" t="str">
            <v>Medios de contraste. Materiales para estudios de radiología e imagen. Gel conductor. De agente acuoso para ultrasonido y procedimientos electromédicos a base propanodiol trietanolamina USP y agua purificada. Tubo con 250 ml.</v>
          </cell>
          <cell r="U3115">
            <v>50532</v>
          </cell>
          <cell r="V3115">
            <v>126328</v>
          </cell>
        </row>
        <row r="3116">
          <cell r="A3116">
            <v>3113</v>
          </cell>
          <cell r="B3116" t="str">
            <v>070.591.0040</v>
          </cell>
          <cell r="E3116" t="str">
            <v>GRUPO 10 Geles Conductores para Estudios de Imagenología. Gel conductor. Agente acuoso para ultrasonido y procedimientos electromédicos con base de propanodiol trietanolamina y agua purificada. Envase con 3800 ml.</v>
          </cell>
          <cell r="U3116">
            <v>23936</v>
          </cell>
          <cell r="V3116">
            <v>59836</v>
          </cell>
        </row>
        <row r="3117">
          <cell r="A3117">
            <v>3114</v>
          </cell>
          <cell r="B3117" t="str">
            <v>070.592.0072</v>
          </cell>
          <cell r="E3117" t="str">
            <v>MEDIOS DE CONTRASTE. GRUPO 5. MEDIOS DE CONTRASTE PARA ESTUDIOS DE RESONANCIAMAGNETICA. MEDIOS DE CONTRASTE PARA RESONANCIA MAGNETICA. GADOLINEO 0.5 MMOL/ML.GADOPENTETATO DE DIMEGLUMINA GADOTERATO DE MEGLUMINA, GADODIAMIDA,GADOVERSETAMIDA. ENVASE CON 10 ML.</v>
          </cell>
          <cell r="U3117">
            <v>2526</v>
          </cell>
          <cell r="V3117">
            <v>6313</v>
          </cell>
        </row>
        <row r="3118">
          <cell r="A3118">
            <v>3115</v>
          </cell>
          <cell r="B3118" t="str">
            <v>070.592.0080</v>
          </cell>
          <cell r="E3118" t="str">
            <v>MEDIOS DE CONTRASTE PARA ESTUDIOS DE RESONANCIA MAGNÉTICA. MEDIOS DE CONTRASTE PARA RESONANCIA MAGNÉTICA. GADOLINEO 0.5 MMOL/ML. GADOPENTETATO DE DIMEGLUMINA GADOTERATO DE MEGLUMINA GADODIAMIDA GADOVERSETAMIDA. ENVASE CON 15 ML.</v>
          </cell>
          <cell r="U3118">
            <v>5078</v>
          </cell>
          <cell r="V3118">
            <v>12693</v>
          </cell>
        </row>
        <row r="3119">
          <cell r="A3119">
            <v>3116</v>
          </cell>
          <cell r="B3119" t="str">
            <v>070.592.0098</v>
          </cell>
          <cell r="E3119" t="str">
            <v>MEDIOS DE CONTRASTE. GRUPO 5 MEDIOS DE CONTRASTE PARA ESTUDIOS DE RESONANCIAMAGNETICA. MEDIO DE CONTRASTE RESONANCIA MAGNETICA. QUELATOS DE GADOLINEO 1MMOL/ML. FRASCO CON 15 ML.</v>
          </cell>
          <cell r="U3119">
            <v>62508</v>
          </cell>
          <cell r="V3119">
            <v>156270</v>
          </cell>
        </row>
        <row r="3120">
          <cell r="A3120">
            <v>3117</v>
          </cell>
          <cell r="B3120" t="str">
            <v>070.592.0106</v>
          </cell>
          <cell r="E3120" t="str">
            <v>MEDIOS DE CONTRASTE. SOLUCION INYECTABLE CADA ML CONTIENE 529 MG DE GADOBENATODE DIMEGLUMINA FRASCO CON 20 ML.</v>
          </cell>
          <cell r="U3120">
            <v>2890</v>
          </cell>
          <cell r="V3120">
            <v>7224</v>
          </cell>
        </row>
        <row r="3121">
          <cell r="A3121">
            <v>3118</v>
          </cell>
          <cell r="B3121" t="str">
            <v>070.592.0114</v>
          </cell>
          <cell r="E3121" t="str">
            <v>MEDIOS DE CONTRASTE. SOLUCION INYECTABLE CADA ML CONTIENE: SAL DISODICA DE ACIDOGADOXETICO 181,43 MG (EQUIVALENTE A 0.25 MMOL) VEHICULO CBP 1 ML ENVASE CON UNAJERINGA DE VIDRIO DE 10 ML.</v>
          </cell>
          <cell r="U3121">
            <v>1947</v>
          </cell>
          <cell r="V3121">
            <v>4867</v>
          </cell>
        </row>
        <row r="3122">
          <cell r="A3122">
            <v>3119</v>
          </cell>
          <cell r="B3122" t="str">
            <v>070.707.0041</v>
          </cell>
          <cell r="E3122" t="str">
            <v>PELICULAS. ORTOCROMATICAS SENSIBLES AL VERDE PARA RADIOLOGIA GENERAL. MEDIDAS:20.3 X 25.4 CM. CAJA CON 100 PELICULAS.</v>
          </cell>
          <cell r="U3122">
            <v>136</v>
          </cell>
          <cell r="V3122">
            <v>338</v>
          </cell>
        </row>
        <row r="3123">
          <cell r="A3123">
            <v>3120</v>
          </cell>
          <cell r="B3123" t="str">
            <v>070.707.0058</v>
          </cell>
          <cell r="E3123" t="str">
            <v>PELICULAS. PELICULAS RADIOGRAFICAS SENSIBLES AL AZUL. CAJA CON 100 PELICULAS.MEDIDAS: 25.4 X 30.4 CM (10 X 12 PULGADAS) CAJA CON 50 PELICULAS.</v>
          </cell>
          <cell r="U3123">
            <v>672</v>
          </cell>
          <cell r="V3123">
            <v>1678</v>
          </cell>
        </row>
        <row r="3124">
          <cell r="A3124">
            <v>3121</v>
          </cell>
          <cell r="B3124" t="str">
            <v>070.707.0090</v>
          </cell>
          <cell r="E3124" t="str">
            <v>PELICULAS. ORTOCROMATICAS SENSIBLES AL VERDE PARA RADIOLOGIA GENERAL. MEDIDAS:24 X 30 CM. CAJA CON 100 PELICULAS.</v>
          </cell>
          <cell r="U3124">
            <v>616</v>
          </cell>
          <cell r="V3124">
            <v>1537</v>
          </cell>
        </row>
        <row r="3125">
          <cell r="A3125">
            <v>3122</v>
          </cell>
          <cell r="B3125" t="str">
            <v>070.707.0108</v>
          </cell>
          <cell r="E3125" t="str">
            <v>PELICULAS. PELICULAS RADIOGRAFICAS SENSIBLES AL AZUL. CAJA CON 100 PELICULAS.MEDIDAS: 27.9 X 35.6 CM. (11 X 14 PULGADAS) CAJA CON 50 PELICULAS.</v>
          </cell>
          <cell r="U3125">
            <v>221</v>
          </cell>
          <cell r="V3125">
            <v>551</v>
          </cell>
        </row>
        <row r="3126">
          <cell r="A3126">
            <v>3123</v>
          </cell>
          <cell r="B3126" t="str">
            <v>070.707.0116</v>
          </cell>
          <cell r="E3126" t="str">
            <v>PELICULAS. ORTOCROMATICAS SENSIBLES AL VERDE PARA RADIOLOGIA GENERAL. MEDIDAS:30 X 35 CM. CAJA CON 100 PELICULAS.</v>
          </cell>
          <cell r="U3126">
            <v>94</v>
          </cell>
          <cell r="V3126">
            <v>234</v>
          </cell>
        </row>
        <row r="3127">
          <cell r="A3127">
            <v>3124</v>
          </cell>
          <cell r="B3127" t="str">
            <v>070.707.0132</v>
          </cell>
          <cell r="E3127" t="str">
            <v>PELICULAS. ORTOCROMATICAS SENSIBLES AL VERDE PARA RADIOLOGIA GENERAL. MEDIDAS:35.6 X 35.6 CM. CAJA CON 100 PELICULAS.</v>
          </cell>
          <cell r="U3127">
            <v>662</v>
          </cell>
          <cell r="V3127">
            <v>1653</v>
          </cell>
        </row>
        <row r="3128">
          <cell r="A3128">
            <v>3125</v>
          </cell>
          <cell r="B3128" t="str">
            <v>070.707.0140</v>
          </cell>
          <cell r="E3128" t="str">
            <v>PELICULAS. ORTOCROMATICAS SENSIBLES AL VERDE PARA RADIOLOGIA GENERAL. MEDIDAS:35.6 X 43.2 CM. CAJA CON 100 PELICULAS.</v>
          </cell>
          <cell r="U3128">
            <v>731</v>
          </cell>
          <cell r="V3128">
            <v>1826</v>
          </cell>
        </row>
        <row r="3129">
          <cell r="A3129">
            <v>3126</v>
          </cell>
          <cell r="B3129" t="str">
            <v>070.707.0157</v>
          </cell>
          <cell r="E3129" t="str">
            <v>PELICULAS. PELICULAS RADIOGRAFICAS SENSIBLES AL AZUL. CAJA CON 100 PELICULAS.MEDIDAS: 35.6 X 35.6 CM. (14 X 14 PULGADAS). CAJA CON 50 PELICULAS.</v>
          </cell>
          <cell r="U3129">
            <v>1225</v>
          </cell>
          <cell r="V3129">
            <v>3061</v>
          </cell>
        </row>
        <row r="3130">
          <cell r="A3130">
            <v>3127</v>
          </cell>
          <cell r="B3130" t="str">
            <v>070.707.0199</v>
          </cell>
          <cell r="E3130" t="str">
            <v>PELICULAS. ORTOCROMATICA SENSIBLE AL VERDE PARA TOMOGRAFIA PANORAMICA DENTALMEDIDAS: 15 X 30 CM. CAJA CON 50 PELICULAS.</v>
          </cell>
          <cell r="U3130">
            <v>122</v>
          </cell>
          <cell r="V3130">
            <v>302</v>
          </cell>
        </row>
        <row r="3131">
          <cell r="A3131">
            <v>3128</v>
          </cell>
          <cell r="B3131" t="str">
            <v>070.707.0207</v>
          </cell>
          <cell r="E3131" t="str">
            <v>PELICULAS. PELICULAS RADIOGRAFICAS SENSIBLES AL AZUL. CAJA CON 100 PELICULAS.MEDIDAS: 35.6 X 43.2 CM. (14 X 17 PULGADAS).  CAJA CON 50 PELICULAS.</v>
          </cell>
          <cell r="U3131">
            <v>1532</v>
          </cell>
          <cell r="V3131">
            <v>3829</v>
          </cell>
        </row>
        <row r="3132">
          <cell r="A3132">
            <v>3129</v>
          </cell>
          <cell r="B3132" t="str">
            <v>070.707.0355</v>
          </cell>
          <cell r="E3132" t="str">
            <v>PELICULAS. PELICULAS RADIOGRAFICAS SENSIBLES AL AZUL. CAJA CON 100 PELICULAS.MEDIDAS: 20.3 X 25.4 CM. (8 X 10 PULGADAS). CAJA CON 50 PELICULAS.</v>
          </cell>
          <cell r="U3132">
            <v>222</v>
          </cell>
          <cell r="V3132">
            <v>552</v>
          </cell>
        </row>
        <row r="3133">
          <cell r="A3133">
            <v>3130</v>
          </cell>
          <cell r="B3133" t="str">
            <v>070.707.0496</v>
          </cell>
          <cell r="E3133" t="str">
            <v>Película. Película radiográfica dental adulto medidas: en un rango de 3 a 3.5 cm por 4 a 4.5 cm Caja con 150 películas</v>
          </cell>
          <cell r="U3133">
            <v>3904</v>
          </cell>
          <cell r="V3133">
            <v>9757</v>
          </cell>
        </row>
        <row r="3134">
          <cell r="A3134">
            <v>3131</v>
          </cell>
          <cell r="B3134" t="str">
            <v>070.707.0504</v>
          </cell>
          <cell r="E3134" t="str">
            <v>PELICULAS. RADIOGRAFICAS DENTALES SENSIBLES AL AZUL. MEDIDAS: OCLUSAL DE 5.7 X7.6 CM. CAJA CON 25 PELICULAS.</v>
          </cell>
          <cell r="U3134">
            <v>381</v>
          </cell>
          <cell r="V3134">
            <v>950</v>
          </cell>
        </row>
        <row r="3135">
          <cell r="A3135">
            <v>3132</v>
          </cell>
          <cell r="B3135" t="str">
            <v>070.707.0587</v>
          </cell>
          <cell r="E3135" t="str">
            <v>PELICULAS. RADIOGRAFICAS DENTALES SENSIBLES AL AZUL. MEDIDAS: INFANTIL SENCILLAPERIAPICAL DE: 2.2 X 3.5 CM. CAJA CON 100 PELICULAS.</v>
          </cell>
          <cell r="U3135">
            <v>432</v>
          </cell>
          <cell r="V3135">
            <v>1077</v>
          </cell>
        </row>
        <row r="3136">
          <cell r="A3136">
            <v>3133</v>
          </cell>
          <cell r="B3136" t="str">
            <v>070.817.0535</v>
          </cell>
          <cell r="E3136" t="str">
            <v>SOLUCIONES PARA REVELADO Y FIJADO. SOLUCION PARA REVELADO. PARA SISTEMAMANUAL. REVELADOR CONCENTRADO PARA PREPARAR 19 LITROS. (LA MARCA DE ESTEPRODUCTO DEBE SER LA MISMA DE LA CLAVE 070.426.0017).</v>
          </cell>
          <cell r="U3136">
            <v>198</v>
          </cell>
          <cell r="V3136">
            <v>494</v>
          </cell>
        </row>
        <row r="3137">
          <cell r="A3137">
            <v>3134</v>
          </cell>
          <cell r="B3137" t="str">
            <v>070.817.0543</v>
          </cell>
          <cell r="E3137" t="str">
            <v>SOLUCIONES PARA REVELADO Y FIJADO. PARA PROCESADORA AUTOMATICA. REVELADORCONCENTRADO PARA PREPARAR 76 LITROS (LA MARCA DE ESTE PRODUCTO DEBE SER LA MISMADE LA CLAVE 070.426.0025).</v>
          </cell>
          <cell r="U3137">
            <v>437</v>
          </cell>
          <cell r="V3137">
            <v>1090</v>
          </cell>
        </row>
        <row r="3138">
          <cell r="A3138">
            <v>3135</v>
          </cell>
          <cell r="B3138" t="str">
            <v>070.817.0550</v>
          </cell>
          <cell r="E3138" t="str">
            <v>SOLUCIONES PARA REVELADO Y FIJADO. SOLUCION PARA REVELADO PARA SISTEMA MANUAL DEREVELADOR CONCENTRADO. ENVASE 828 ML. (LA MARCA DE ESTE PRODUCTO DEBE SER LAMISMA DE LA CLAVE 070.426.0363).</v>
          </cell>
          <cell r="U3138">
            <v>224</v>
          </cell>
          <cell r="V3138">
            <v>557</v>
          </cell>
        </row>
        <row r="3139">
          <cell r="A3139">
            <v>3136</v>
          </cell>
          <cell r="B3139" t="str">
            <v>070.817.0568</v>
          </cell>
          <cell r="E3139" t="str">
            <v>SOLUCIONES PARA REVELADO Y FIJADO. SOLUCION PARA REVELADO PARA SISTEMA MANUAL DEREVELADOR CONCENTRADO. ENVASE 1 LTS. (LA MARCA DE ESTE PRODUCTO DEBE SER LAMISMA DE LA CLAVE 070.426.0371).</v>
          </cell>
          <cell r="U3139">
            <v>172</v>
          </cell>
          <cell r="V3139">
            <v>426</v>
          </cell>
        </row>
        <row r="3140">
          <cell r="A3140">
            <v>3137</v>
          </cell>
          <cell r="B3140" t="str">
            <v>080.004.0040</v>
          </cell>
          <cell r="E3140" t="str">
            <v>REACTIVOS QUIMICOS. ACEITE LUBRICANTE PARA CRIOSTATO. FRASCO CON 80 ML. TA.</v>
          </cell>
          <cell r="U3140">
            <v>123</v>
          </cell>
          <cell r="V3140">
            <v>306</v>
          </cell>
        </row>
        <row r="3141">
          <cell r="A3141">
            <v>3138</v>
          </cell>
          <cell r="B3141" t="str">
            <v>080.004.0057</v>
          </cell>
          <cell r="E3141" t="str">
            <v>ACEITES. PARA CUBRIR PLACAS DE TERASAKY. FRASCO CON 1000 ML.</v>
          </cell>
          <cell r="U3141">
            <v>68</v>
          </cell>
          <cell r="V3141">
            <v>168</v>
          </cell>
        </row>
        <row r="3142">
          <cell r="A3142">
            <v>3139</v>
          </cell>
          <cell r="B3142" t="str">
            <v>080.018.0101</v>
          </cell>
          <cell r="E3142" t="str">
            <v>Fijador Fijador hidrosoluble para citología exfoliativa en aerosol. Envase con 250 g. TA.</v>
          </cell>
          <cell r="U3142">
            <v>168546</v>
          </cell>
          <cell r="V3142">
            <v>421364</v>
          </cell>
        </row>
        <row r="3143">
          <cell r="A3143">
            <v>3140</v>
          </cell>
          <cell r="B3143" t="str">
            <v>080.025.0052</v>
          </cell>
          <cell r="E3143" t="str">
            <v>Agujas Para toma y recolección de sangre sencilla y/o múltiple estériles desechables. 21 G. x 38 mm. Caja con 100 piezas.</v>
          </cell>
          <cell r="U3143">
            <v>372056</v>
          </cell>
          <cell r="V3143">
            <v>930140</v>
          </cell>
        </row>
        <row r="3144">
          <cell r="A3144">
            <v>3141</v>
          </cell>
          <cell r="B3144" t="str">
            <v>080.025.0128</v>
          </cell>
          <cell r="E3144" t="str">
            <v>AGUJAS. PARA TOMA Y RECOLECCION DE SANGRE SENCILLA Y/O MULTIPLE ESTERILES,DESECHABLES. 22 G. X 38 MM. CAJA CON 100 PIEZAS.</v>
          </cell>
          <cell r="U3144">
            <v>17950</v>
          </cell>
          <cell r="V3144">
            <v>44873</v>
          </cell>
        </row>
        <row r="3145">
          <cell r="A3145">
            <v>3142</v>
          </cell>
          <cell r="B3145" t="str">
            <v>080.025.0136</v>
          </cell>
          <cell r="E3145" t="str">
            <v>ADAPTADORES. PARA AGUJAS. TOMA MULTIPLE. BOLSA CON 10 PIEZAS.</v>
          </cell>
          <cell r="U3145">
            <v>9989</v>
          </cell>
          <cell r="V3145">
            <v>24972</v>
          </cell>
        </row>
        <row r="3146">
          <cell r="A3146">
            <v>3143</v>
          </cell>
          <cell r="B3146" t="str">
            <v>080.070.0015</v>
          </cell>
          <cell r="E3146" t="str">
            <v>SUSTANCIAS BIOLOGICAS. KAPPA Y LAMBDA CADENAS LIGERAS, LISOZIMA. PARA MINIMO 20PRUEBAS. RTC.</v>
          </cell>
          <cell r="U3146">
            <v>2</v>
          </cell>
          <cell r="V3146">
            <v>4</v>
          </cell>
        </row>
        <row r="3147">
          <cell r="A3147">
            <v>3144</v>
          </cell>
          <cell r="B3147" t="str">
            <v>080.070.0023</v>
          </cell>
          <cell r="E3147" t="str">
            <v>SUSTANCIAS BIOLOGICAS. ANTICUERPO MONOCLONAL CD 43. (MT-1). FRASCO CON 1 ML.RTC.</v>
          </cell>
          <cell r="U3147">
            <v>64</v>
          </cell>
          <cell r="V3147">
            <v>159</v>
          </cell>
        </row>
        <row r="3148">
          <cell r="A3148">
            <v>3145</v>
          </cell>
          <cell r="B3148" t="str">
            <v>080.070.0031</v>
          </cell>
          <cell r="E3148" t="str">
            <v>SUSTANCIAS BIOLOGICAS. ANTICUERPO MONOCLONAL CD 45. RA (MT-2). FRASCO CON 1 ML.RTC.</v>
          </cell>
          <cell r="U3148">
            <v>73</v>
          </cell>
          <cell r="V3148">
            <v>181</v>
          </cell>
        </row>
        <row r="3149">
          <cell r="A3149">
            <v>3146</v>
          </cell>
          <cell r="B3149" t="str">
            <v>080.070.0049</v>
          </cell>
          <cell r="E3149" t="str">
            <v>SUSTANCIAS BIOLOGICAS. MB-1. (AC. PRIMARIO). FRASCO CON 1 ML. RTC.</v>
          </cell>
          <cell r="U3149">
            <v>25</v>
          </cell>
          <cell r="V3149">
            <v>61</v>
          </cell>
        </row>
        <row r="3150">
          <cell r="A3150">
            <v>3147</v>
          </cell>
          <cell r="B3150" t="str">
            <v>080.070.0056</v>
          </cell>
          <cell r="E3150" t="str">
            <v>SUSTANCIAS BIOLOGICAS. MB-2. (AC. PRIMARIO). FRASCO CON 1 ML. RTC.</v>
          </cell>
          <cell r="U3150">
            <v>26</v>
          </cell>
          <cell r="V3150">
            <v>63</v>
          </cell>
        </row>
        <row r="3151">
          <cell r="A3151">
            <v>3148</v>
          </cell>
          <cell r="B3151" t="str">
            <v>080.070.0064</v>
          </cell>
          <cell r="E3151" t="str">
            <v>SUSTANCIAS BIOLOGICAS. LN-1. (AC. PRIMARIO). FRASCO CON 1 ML. RTC.</v>
          </cell>
          <cell r="U3151">
            <v>26</v>
          </cell>
          <cell r="V3151">
            <v>63</v>
          </cell>
        </row>
        <row r="3152">
          <cell r="A3152">
            <v>3149</v>
          </cell>
          <cell r="B3152" t="str">
            <v>080.070.0072</v>
          </cell>
          <cell r="E3152" t="str">
            <v>SUSTANCIAS BIOLOGICAS. LN-2. (AC. PRIMARIO). FRASCO CON 1 ML. RTC.</v>
          </cell>
          <cell r="U3152">
            <v>26</v>
          </cell>
          <cell r="V3152">
            <v>63</v>
          </cell>
        </row>
        <row r="3153">
          <cell r="A3153">
            <v>3150</v>
          </cell>
          <cell r="B3153" t="str">
            <v>080.070.0080</v>
          </cell>
          <cell r="E3153" t="str">
            <v>SUSTANCIAS BIOLOGICAS. ANTICUERPO MONOCLONAL ANTI CADENA PESADA M. FRASCO CON 1ML. RTC.</v>
          </cell>
          <cell r="U3153">
            <v>51</v>
          </cell>
          <cell r="V3153">
            <v>125</v>
          </cell>
        </row>
        <row r="3154">
          <cell r="A3154">
            <v>3151</v>
          </cell>
          <cell r="B3154" t="str">
            <v>080.070.0098</v>
          </cell>
          <cell r="E3154" t="str">
            <v>SUSTANCIAS BIOLOGICAS. ANTICUERPO MONOCLONAL ANTI CADENA PESADA G. FRASCO CON 1ML. RTC.</v>
          </cell>
          <cell r="U3154">
            <v>45</v>
          </cell>
          <cell r="V3154">
            <v>111</v>
          </cell>
        </row>
        <row r="3155">
          <cell r="A3155">
            <v>3152</v>
          </cell>
          <cell r="B3155" t="str">
            <v>080.070.0106</v>
          </cell>
          <cell r="E3155" t="str">
            <v>SUSTANCIAS BIOLOGICAS. ANTICUERPO MONOCLONAL ANTI CADENA PESADA A. FRASCO CON 1ML. RTC.</v>
          </cell>
          <cell r="U3155">
            <v>64</v>
          </cell>
          <cell r="V3155">
            <v>159</v>
          </cell>
        </row>
        <row r="3156">
          <cell r="A3156">
            <v>3153</v>
          </cell>
          <cell r="B3156" t="str">
            <v>080.070.0114</v>
          </cell>
          <cell r="E3156" t="str">
            <v>SUSTANCIAS BIOLOGICAS. ANTICUERPO MONOCLONAL ANTI CADENA PESADA D. FRASCO CON 1ML. RTC.</v>
          </cell>
          <cell r="U3156">
            <v>54</v>
          </cell>
          <cell r="V3156">
            <v>133</v>
          </cell>
        </row>
        <row r="3157">
          <cell r="A3157">
            <v>3154</v>
          </cell>
          <cell r="B3157" t="str">
            <v>080.070.0122</v>
          </cell>
          <cell r="E3157" t="str">
            <v>SUSTANCIAS BIOLOGICAS. ANTICUERPO MONOCLONAL ANTI CADENA PESADA E. FRASCO CON 1ML. RTC.</v>
          </cell>
          <cell r="U3157">
            <v>35</v>
          </cell>
          <cell r="V3157">
            <v>85</v>
          </cell>
        </row>
        <row r="3158">
          <cell r="A3158">
            <v>3155</v>
          </cell>
          <cell r="B3158" t="str">
            <v>080.070.0130</v>
          </cell>
          <cell r="E3158" t="str">
            <v>SUSTANCIAS BIOLOGICAS. ANTICUERPO MONOCLONAL CD 45 RO. PAN T UCHL 1. FRASCO CON1 ML. RTC.</v>
          </cell>
          <cell r="U3158">
            <v>68</v>
          </cell>
          <cell r="V3158">
            <v>167</v>
          </cell>
        </row>
        <row r="3159">
          <cell r="A3159">
            <v>3156</v>
          </cell>
          <cell r="B3159" t="str">
            <v>080.070.0163</v>
          </cell>
          <cell r="E3159" t="str">
            <v>SUSTANCIAS BIOLOGICAS. CELULAS T SUPRESORAS (CITOTOXICAS) (CD 8). AC PRIMARIO.FRASCO CON 1 ML. RTC.</v>
          </cell>
          <cell r="U3159">
            <v>45</v>
          </cell>
          <cell r="V3159">
            <v>111</v>
          </cell>
        </row>
        <row r="3160">
          <cell r="A3160">
            <v>3157</v>
          </cell>
          <cell r="B3160" t="str">
            <v>080.070.0197</v>
          </cell>
          <cell r="E3160" t="str">
            <v>SUSTANCIAS BIOLOGICAS. CONCANAVALINA A/HRP. (AC. PRIMARIO). FRASCO CON 2 ML.RTC.</v>
          </cell>
          <cell r="U3160">
            <v>19</v>
          </cell>
          <cell r="V3160">
            <v>45</v>
          </cell>
        </row>
        <row r="3161">
          <cell r="A3161">
            <v>3158</v>
          </cell>
          <cell r="B3161" t="str">
            <v>080.070.0205</v>
          </cell>
          <cell r="E3161" t="str">
            <v>SUSTANCIAS BIOLOGICAS. ANTICUERPO CONTRA RECEPTORES DE ESTROGENOS. PARA MINIMO20 PRUEBAS. RTC.</v>
          </cell>
          <cell r="U3161">
            <v>64</v>
          </cell>
          <cell r="V3161">
            <v>157</v>
          </cell>
        </row>
        <row r="3162">
          <cell r="A3162">
            <v>3159</v>
          </cell>
          <cell r="B3162" t="str">
            <v>080.070.0213</v>
          </cell>
          <cell r="E3162" t="str">
            <v>SUSTANCIAS BIOLOGICAS. ALFA LACTO ALBUMINA. (AC PRIMARIO). FRASCO CON 1 ML. RTC.</v>
          </cell>
          <cell r="U3162">
            <v>35</v>
          </cell>
          <cell r="V3162">
            <v>85</v>
          </cell>
        </row>
        <row r="3163">
          <cell r="A3163">
            <v>3160</v>
          </cell>
          <cell r="B3163" t="str">
            <v>080.070.0221</v>
          </cell>
          <cell r="E3163" t="str">
            <v>SUSTANCIAS BIOLOGICAS. FOSFATASA ACIDA PROSTATICA. (AC. PRIMARIO). FRASCO CON 1ML. RTC.</v>
          </cell>
          <cell r="U3163">
            <v>35</v>
          </cell>
          <cell r="V3163">
            <v>85</v>
          </cell>
        </row>
        <row r="3164">
          <cell r="A3164">
            <v>3161</v>
          </cell>
          <cell r="B3164" t="str">
            <v>080.070.0247</v>
          </cell>
          <cell r="E3164" t="str">
            <v>SUSTANCIAS BIOLOGICAS ALFA -FETO-PROTEINA. (AC PRIMARIO). FRASCO CON 2 ML. RTC.</v>
          </cell>
          <cell r="U3164">
            <v>55</v>
          </cell>
          <cell r="V3164">
            <v>135</v>
          </cell>
        </row>
        <row r="3165">
          <cell r="A3165">
            <v>3162</v>
          </cell>
          <cell r="B3165" t="str">
            <v>080.070.0254</v>
          </cell>
          <cell r="E3165" t="str">
            <v>SUSTANCIAS BIOLOGICAS. GONADOTROFINA CORIONICA. (AC. PRIMARIO). FRASCO CON 2 ML.RTC.</v>
          </cell>
          <cell r="U3165">
            <v>28</v>
          </cell>
          <cell r="V3165">
            <v>67</v>
          </cell>
        </row>
        <row r="3166">
          <cell r="A3166">
            <v>3163</v>
          </cell>
          <cell r="B3166" t="str">
            <v>080.070.0262</v>
          </cell>
          <cell r="E3166" t="str">
            <v>SUSTANCIAS BIOLOGICAS. ALFA-1-ANTITIMOSINA. (AC PRIMARIO). FRASCO CON 2 ML. RTC.</v>
          </cell>
          <cell r="U3166">
            <v>35</v>
          </cell>
          <cell r="V3166">
            <v>85</v>
          </cell>
        </row>
        <row r="3167">
          <cell r="A3167">
            <v>3164</v>
          </cell>
          <cell r="B3167" t="str">
            <v>080.070.0270</v>
          </cell>
          <cell r="E3167" t="str">
            <v>SUSTANCIAS BIOLOGICAS VIMENTINA. (AC. PRIMARIO). FRASCO CON 1 ML. RTC.</v>
          </cell>
          <cell r="U3167">
            <v>64</v>
          </cell>
          <cell r="V3167">
            <v>159</v>
          </cell>
        </row>
        <row r="3168">
          <cell r="A3168">
            <v>3165</v>
          </cell>
          <cell r="B3168" t="str">
            <v>080.070.0288</v>
          </cell>
          <cell r="E3168" t="str">
            <v>SUSTANCIAS BIOLOGICAS. MIOGLOBINA. (AC. PRIMARIO). FRASCO CON 1 ML. RTC.</v>
          </cell>
          <cell r="U3168">
            <v>76</v>
          </cell>
          <cell r="V3168">
            <v>189</v>
          </cell>
        </row>
        <row r="3169">
          <cell r="A3169">
            <v>3166</v>
          </cell>
          <cell r="B3169" t="str">
            <v>080.070.0296</v>
          </cell>
          <cell r="E3169" t="str">
            <v>SUSTANCIAS BIOLOGICAS. ANTIGENO DE MUSCULO LISO. (AC PRIMARIO). FRASCO CON 1 ML.RTC.</v>
          </cell>
          <cell r="U3169">
            <v>74</v>
          </cell>
          <cell r="V3169">
            <v>183</v>
          </cell>
        </row>
        <row r="3170">
          <cell r="A3170">
            <v>3167</v>
          </cell>
          <cell r="B3170" t="str">
            <v>080.070.0304</v>
          </cell>
          <cell r="E3170" t="str">
            <v>SUSTANCIAS BIOLOGICAS. PROTEINA BASICA DE MIELINA. (AC. PRIMARIO). FRASCO CON 1ML. RTC.</v>
          </cell>
          <cell r="U3170">
            <v>92</v>
          </cell>
          <cell r="V3170">
            <v>229</v>
          </cell>
        </row>
        <row r="3171">
          <cell r="A3171">
            <v>3168</v>
          </cell>
          <cell r="B3171" t="str">
            <v>080.070.0312</v>
          </cell>
          <cell r="E3171" t="str">
            <v>SUSTANCIAS BIOLOGICAS PROTEINA GLIAL FIBRILAR. (AC. PRIMARIO). FRASCO CON 1 ML.RTC.</v>
          </cell>
          <cell r="U3171">
            <v>103</v>
          </cell>
          <cell r="V3171">
            <v>255</v>
          </cell>
        </row>
        <row r="3172">
          <cell r="A3172">
            <v>3169</v>
          </cell>
          <cell r="B3172" t="str">
            <v>080.070.0320</v>
          </cell>
          <cell r="E3172" t="str">
            <v>SUSTANCIAS BIOLOGICAS INSULINA. (AC. PRIMARIO). FRASCO CON 1 ML. RTC.</v>
          </cell>
          <cell r="U3172">
            <v>35</v>
          </cell>
          <cell r="V3172">
            <v>85</v>
          </cell>
        </row>
        <row r="3173">
          <cell r="A3173">
            <v>3170</v>
          </cell>
          <cell r="B3173" t="str">
            <v>080.070.0338</v>
          </cell>
          <cell r="E3173" t="str">
            <v>SUSTANCIAS BIOLOGICAS. GLUCAGON. (AC. PRIMARIO). FRASCO CON 1 ML. RTC.</v>
          </cell>
          <cell r="U3173">
            <v>25</v>
          </cell>
          <cell r="V3173">
            <v>61</v>
          </cell>
        </row>
        <row r="3174">
          <cell r="A3174">
            <v>3171</v>
          </cell>
          <cell r="B3174" t="str">
            <v>080.070.0346</v>
          </cell>
          <cell r="E3174" t="str">
            <v>SUSTANCIAS BIOLOGICAS. PEPTIDO INTESTINAL VASOACTIVO. (AC. PRIMARIO). FRASCO CON1 ML. RTC.</v>
          </cell>
          <cell r="U3174">
            <v>25</v>
          </cell>
          <cell r="V3174">
            <v>61</v>
          </cell>
        </row>
        <row r="3175">
          <cell r="A3175">
            <v>3172</v>
          </cell>
          <cell r="B3175" t="str">
            <v>080.070.0353</v>
          </cell>
          <cell r="E3175" t="str">
            <v>SUSTANCIAS BIOLOGICAS. GASTRINA. (AC. PRIMARIO). FRASCO CON 1 ML. RTC.</v>
          </cell>
          <cell r="U3175">
            <v>44</v>
          </cell>
          <cell r="V3175">
            <v>109</v>
          </cell>
        </row>
        <row r="3176">
          <cell r="A3176">
            <v>3173</v>
          </cell>
          <cell r="B3176" t="str">
            <v>080.070.0361</v>
          </cell>
          <cell r="E3176" t="str">
            <v>SUSTANCIAS BIOLOGICAS. HORMONA ADRENOCORTICOTROFICA (ACTH). (AC PRIMARIO).FRASCO CON 1 ML. RTC.</v>
          </cell>
          <cell r="U3176">
            <v>25</v>
          </cell>
          <cell r="V3176">
            <v>61</v>
          </cell>
        </row>
        <row r="3177">
          <cell r="A3177">
            <v>3174</v>
          </cell>
          <cell r="B3177" t="str">
            <v>080.070.0379</v>
          </cell>
          <cell r="E3177" t="str">
            <v>SUSTANCIAS BIOLOGICAS. SEROTONINA. (AC. PRIMARIO). FRASCO CON 1 ML. RTC.</v>
          </cell>
          <cell r="U3177">
            <v>25</v>
          </cell>
          <cell r="V3177">
            <v>61</v>
          </cell>
        </row>
        <row r="3178">
          <cell r="A3178">
            <v>3175</v>
          </cell>
          <cell r="B3178" t="str">
            <v>080.070.0387</v>
          </cell>
          <cell r="E3178" t="str">
            <v>SUSTANCIAS BIOLOGICAS. ANTICUERPOS MONOCLONALES PARA LINFOCITOS. FRASCO CON 1ML. RTC.</v>
          </cell>
          <cell r="U3178">
            <v>26</v>
          </cell>
          <cell r="V3178">
            <v>63</v>
          </cell>
        </row>
        <row r="3179">
          <cell r="A3179">
            <v>3176</v>
          </cell>
          <cell r="B3179" t="str">
            <v>080.070.0395</v>
          </cell>
          <cell r="E3179" t="str">
            <v>SUSTANCIAS BIOLOGICAS. ANTICUERPOS MONOCLONALES PARA GRANULOCITOS. FRASCO CON 1ML. RTC.</v>
          </cell>
          <cell r="U3179">
            <v>26</v>
          </cell>
          <cell r="V3179">
            <v>63</v>
          </cell>
        </row>
        <row r="3180">
          <cell r="A3180">
            <v>3177</v>
          </cell>
          <cell r="B3180" t="str">
            <v>080.070.0403</v>
          </cell>
          <cell r="E3180" t="str">
            <v>SUSTANCIAS BIOLOGICAS. ANTICUERPOS MONOCLONALES PARA MIELOCITOS O MONOCITOS.FRASCO CON 1 ML. RTC.</v>
          </cell>
          <cell r="U3180">
            <v>26</v>
          </cell>
          <cell r="V3180">
            <v>63</v>
          </cell>
        </row>
        <row r="3181">
          <cell r="A3181">
            <v>3178</v>
          </cell>
          <cell r="B3181" t="str">
            <v>080.070.0429</v>
          </cell>
          <cell r="E3181" t="str">
            <v>SUSTANCIAS BIOLOGICAS. ANTICUERPOS MONOCLONALES PARA TIMOCITOS. FRASCO CON 1 ML.RTC.</v>
          </cell>
          <cell r="U3181">
            <v>26</v>
          </cell>
          <cell r="V3181">
            <v>63</v>
          </cell>
        </row>
        <row r="3182">
          <cell r="A3182">
            <v>3179</v>
          </cell>
          <cell r="B3182" t="str">
            <v>080.070.0437</v>
          </cell>
          <cell r="E3182" t="str">
            <v>SUSTANCIAS BIOLOGICAS. ANTICUERPOS CONTRA FACTOR VIII ANTIGENICO. FRASCO CON 1ML. RTC.</v>
          </cell>
          <cell r="U3182">
            <v>64</v>
          </cell>
          <cell r="V3182">
            <v>159</v>
          </cell>
        </row>
        <row r="3183">
          <cell r="A3183">
            <v>3180</v>
          </cell>
          <cell r="B3183" t="str">
            <v>080.070.1112</v>
          </cell>
          <cell r="E3183" t="str">
            <v>SUSTANCIAS BIOLOGICAS. ANTICUERPO MONOCLONAL CD 19. FRASCO CON 1 ML. RTC.</v>
          </cell>
          <cell r="U3183">
            <v>65</v>
          </cell>
          <cell r="V3183">
            <v>161</v>
          </cell>
        </row>
        <row r="3184">
          <cell r="A3184">
            <v>3181</v>
          </cell>
          <cell r="B3184" t="str">
            <v>080.070.1120</v>
          </cell>
          <cell r="E3184" t="str">
            <v>SUSTANCIAS BIOLOGICAS ANTICUERPO MONOCLONAL CD 10. FRASCO CON 1 ML. RTC.</v>
          </cell>
          <cell r="U3184">
            <v>65</v>
          </cell>
          <cell r="V3184">
            <v>161</v>
          </cell>
        </row>
        <row r="3185">
          <cell r="A3185">
            <v>3182</v>
          </cell>
          <cell r="B3185" t="str">
            <v>080.070.1138</v>
          </cell>
          <cell r="E3185" t="str">
            <v>SUSTANCIAS BIOLOGICAS ANTICUERPO MONOCLONAL CD 20. (PAN -BL 26). FRASCO CON 1ML. RTC.</v>
          </cell>
          <cell r="U3185">
            <v>83</v>
          </cell>
          <cell r="V3185">
            <v>205</v>
          </cell>
        </row>
        <row r="3186">
          <cell r="A3186">
            <v>3183</v>
          </cell>
          <cell r="B3186" t="str">
            <v>080.070.1146</v>
          </cell>
          <cell r="E3186" t="str">
            <v>SUSTANCIAS BIOLOGICAS. ANTICUERPO MONOCLONAL CD 21. FRASCO CON 1 ML. RTC.</v>
          </cell>
          <cell r="U3186">
            <v>44</v>
          </cell>
          <cell r="V3186">
            <v>109</v>
          </cell>
        </row>
        <row r="3187">
          <cell r="A3187">
            <v>3184</v>
          </cell>
          <cell r="B3187" t="str">
            <v>080.070.1153</v>
          </cell>
          <cell r="E3187" t="str">
            <v>SUSTANCIAS BIOLOGICAS. ANTICUERPO MONOCLONAL CD 22. FRASCO CON 1 ML. RTC.</v>
          </cell>
          <cell r="U3187">
            <v>36</v>
          </cell>
          <cell r="V3187">
            <v>87</v>
          </cell>
        </row>
        <row r="3188">
          <cell r="A3188">
            <v>3185</v>
          </cell>
          <cell r="B3188" t="str">
            <v>080.070.1161</v>
          </cell>
          <cell r="E3188" t="str">
            <v>SUSTANCIAS BIOLOGICAS. ANTICUERPO MONOCLONAL HLA/DR. FRASCO CON 1 ML. RTC.</v>
          </cell>
          <cell r="U3188">
            <v>25</v>
          </cell>
          <cell r="V3188">
            <v>61</v>
          </cell>
        </row>
        <row r="3189">
          <cell r="A3189">
            <v>3186</v>
          </cell>
          <cell r="B3189" t="str">
            <v>080.070.1179</v>
          </cell>
          <cell r="E3189" t="str">
            <v>SUSTANCIAS BIOLOGICAS. ANTICUERPO MONOCLONAL CD 2. FRASCO CON 1 ML. RTC.</v>
          </cell>
          <cell r="U3189">
            <v>36</v>
          </cell>
          <cell r="V3189">
            <v>87</v>
          </cell>
        </row>
        <row r="3190">
          <cell r="A3190">
            <v>3187</v>
          </cell>
          <cell r="B3190" t="str">
            <v>080.070.1187</v>
          </cell>
          <cell r="E3190" t="str">
            <v>SUSTANCIAS BIOLOGICAS. ANTICUERPO MONOCLONAL CD 3. FRASCO CON 1 ML. RTC.</v>
          </cell>
          <cell r="U3190">
            <v>64</v>
          </cell>
          <cell r="V3190">
            <v>159</v>
          </cell>
        </row>
        <row r="3191">
          <cell r="A3191">
            <v>3188</v>
          </cell>
          <cell r="B3191" t="str">
            <v>080.070.1195</v>
          </cell>
          <cell r="E3191" t="str">
            <v>SUSTANCIAS BIOLOGICAS. ANTICUERPO MONOCLONAL CD 4. (CELULAS T COOPERADORAS OINDUCTORAS). FRASCO CON 1 ML. RTC.</v>
          </cell>
          <cell r="U3191">
            <v>64</v>
          </cell>
          <cell r="V3191">
            <v>157</v>
          </cell>
        </row>
        <row r="3192">
          <cell r="A3192">
            <v>3189</v>
          </cell>
          <cell r="B3192" t="str">
            <v>080.070.1203</v>
          </cell>
          <cell r="E3192" t="str">
            <v>SUSTANCIAS BIOLOGICAS. ANTICUERPO MONOCLONAL CD 1. FRASCO CON 1 ML. RTC.</v>
          </cell>
          <cell r="U3192">
            <v>36</v>
          </cell>
          <cell r="V3192">
            <v>87</v>
          </cell>
        </row>
        <row r="3193">
          <cell r="A3193">
            <v>3190</v>
          </cell>
          <cell r="B3193" t="str">
            <v>080.070.1211</v>
          </cell>
          <cell r="E3193" t="str">
            <v>SUSTANCIAS BIOLOGICAS. ANTICUERPO MONOCLONAL CD 5. FRASCO CON 1 ML. RTC.</v>
          </cell>
          <cell r="U3193">
            <v>45</v>
          </cell>
          <cell r="V3193">
            <v>111</v>
          </cell>
        </row>
        <row r="3194">
          <cell r="A3194">
            <v>3191</v>
          </cell>
          <cell r="B3194" t="str">
            <v>080.070.1229</v>
          </cell>
          <cell r="E3194" t="str">
            <v>SUSTANCIAS BIOLOGICAS. ANTICUERPO MONOCLONAL CD 25. FRASCO CON 1 ML. RTC.</v>
          </cell>
          <cell r="U3194">
            <v>36</v>
          </cell>
          <cell r="V3194">
            <v>87</v>
          </cell>
        </row>
        <row r="3195">
          <cell r="A3195">
            <v>3192</v>
          </cell>
          <cell r="B3195" t="str">
            <v>080.070.1237</v>
          </cell>
          <cell r="E3195" t="str">
            <v>SUSTANCIAS BIOLOGICAS ANTICUERPO MONOCLONAL CD 34. FRASCO CON 1 ML. RTC.</v>
          </cell>
          <cell r="U3195">
            <v>64</v>
          </cell>
          <cell r="V3195">
            <v>159</v>
          </cell>
        </row>
        <row r="3196">
          <cell r="A3196">
            <v>3193</v>
          </cell>
          <cell r="B3196" t="str">
            <v>080.070.1245</v>
          </cell>
          <cell r="E3196" t="str">
            <v>SUSTANCIAS BIOLOGICAS ANTICUERPO MONOCLONAL CD 30. (BER-H2). FRASCO CON 1 ML.RTC.</v>
          </cell>
          <cell r="U3196">
            <v>55</v>
          </cell>
          <cell r="V3196">
            <v>135</v>
          </cell>
        </row>
        <row r="3197">
          <cell r="A3197">
            <v>3194</v>
          </cell>
          <cell r="B3197" t="str">
            <v>080.070.1252</v>
          </cell>
          <cell r="E3197" t="str">
            <v>SUSTANCIAS BIOLOGICAS. ANTICUERPO MONOCLONAL CD 11 B. FRASCO CON 1 ML. RTC.</v>
          </cell>
          <cell r="U3197">
            <v>36</v>
          </cell>
          <cell r="V3197">
            <v>87</v>
          </cell>
        </row>
        <row r="3198">
          <cell r="A3198">
            <v>3195</v>
          </cell>
          <cell r="B3198" t="str">
            <v>080.070.1260</v>
          </cell>
          <cell r="E3198" t="str">
            <v>SUSTANCIAS BIOLOGICAS. ANTICUERPO MONOCLONAL CD 13. FRASCO CON 1 ML. RTC.</v>
          </cell>
          <cell r="U3198">
            <v>36</v>
          </cell>
          <cell r="V3198">
            <v>87</v>
          </cell>
        </row>
        <row r="3199">
          <cell r="A3199">
            <v>3196</v>
          </cell>
          <cell r="B3199" t="str">
            <v>080.070.1278</v>
          </cell>
          <cell r="E3199" t="str">
            <v>SUSTANCIAS BIOLOGICAS. ANTICUERPO MONOCLONAL CD 14. FRASCO CON 1 ML. RTC.</v>
          </cell>
          <cell r="U3199">
            <v>26</v>
          </cell>
          <cell r="V3199">
            <v>63</v>
          </cell>
        </row>
        <row r="3200">
          <cell r="A3200">
            <v>3197</v>
          </cell>
          <cell r="B3200" t="str">
            <v>080.070.1286</v>
          </cell>
          <cell r="E3200" t="str">
            <v>SUSTANCIAS BIOLOGICAS. ANTICUERPO MONOCLONAL CD 33. FRASCO CON 1 ML. RTC.</v>
          </cell>
          <cell r="U3200">
            <v>26</v>
          </cell>
          <cell r="V3200">
            <v>63</v>
          </cell>
        </row>
        <row r="3201">
          <cell r="A3201">
            <v>3198</v>
          </cell>
          <cell r="B3201" t="str">
            <v>080.070.1294</v>
          </cell>
          <cell r="E3201" t="str">
            <v>SUSTANCIAS BIOLOGICAS. ANTICUERPO MONOCLONAL CD 41 A. FRASCO CON 1 ML. RTC.</v>
          </cell>
          <cell r="U3201">
            <v>55</v>
          </cell>
          <cell r="V3201">
            <v>135</v>
          </cell>
        </row>
        <row r="3202">
          <cell r="A3202">
            <v>3199</v>
          </cell>
          <cell r="B3202" t="str">
            <v>080.070.1302</v>
          </cell>
          <cell r="E3202" t="str">
            <v>SUSTANCIAS BIOLOGICAS ANTICUERPO MONOCLONAL ANTIGENO EPITELIAL DE MEMBRANA.FRASCO CON 1 ML. RTC.</v>
          </cell>
          <cell r="U3202">
            <v>64</v>
          </cell>
          <cell r="V3202">
            <v>159</v>
          </cell>
        </row>
        <row r="3203">
          <cell r="A3203">
            <v>3200</v>
          </cell>
          <cell r="B3203" t="str">
            <v>080.070.1310</v>
          </cell>
          <cell r="E3203" t="str">
            <v>SUSTANCIAS BIOLOGICAS ANTICUERPO MONOCLONAL. ANTIGENO COMUN LEUCOCITARIO CD 45RB. FRASCO CON 1 ML. RTC.</v>
          </cell>
          <cell r="U3203">
            <v>84</v>
          </cell>
          <cell r="V3203">
            <v>207</v>
          </cell>
        </row>
        <row r="3204">
          <cell r="A3204">
            <v>3201</v>
          </cell>
          <cell r="B3204" t="str">
            <v>080.070.1344</v>
          </cell>
          <cell r="E3204" t="str">
            <v>SUSTANCIAS BIOLOGICAS FOSFATASA ALCALINA PLACENTARIA. FRASCO CON 2 ML. RTC.</v>
          </cell>
          <cell r="U3204">
            <v>35</v>
          </cell>
          <cell r="V3204">
            <v>85</v>
          </cell>
        </row>
        <row r="3205">
          <cell r="A3205">
            <v>3202</v>
          </cell>
          <cell r="B3205" t="str">
            <v>080.070.1351</v>
          </cell>
          <cell r="E3205" t="str">
            <v>SUSTANCIAS BIOLOGICAS. HORMONA DE CRECIMIENTO. (AC. PRIMARIO). FRASCO CON 1 ML.RTC.</v>
          </cell>
          <cell r="U3205">
            <v>25</v>
          </cell>
          <cell r="V3205">
            <v>61</v>
          </cell>
        </row>
        <row r="3206">
          <cell r="A3206">
            <v>3203</v>
          </cell>
          <cell r="B3206" t="str">
            <v>080.070.1393</v>
          </cell>
          <cell r="E3206" t="str">
            <v>SUSTANCIAS BIOLOGICAS. SISTEMA DE PREPARACION DE LAMINILLAS PARA HIBRIDACION INSITU. CAJA CON 200 LAMINILLAS. RTC.</v>
          </cell>
          <cell r="U3206">
            <v>288</v>
          </cell>
          <cell r="V3206">
            <v>719</v>
          </cell>
        </row>
        <row r="3207">
          <cell r="A3207">
            <v>3204</v>
          </cell>
          <cell r="B3207" t="str">
            <v>080.070.1559</v>
          </cell>
          <cell r="E3207" t="str">
            <v>SUSTANCIAS BIOLOGICAS, ANTIGENOS, SUEROS. CARCINOMA DE CELULAS ESCAMOSAS (SCC).FRASCO CON 7 ML. CONTROL NEGATIVO. FRASCO CON 2 ML. RTC.</v>
          </cell>
          <cell r="U3207">
            <v>16</v>
          </cell>
          <cell r="V3207">
            <v>40</v>
          </cell>
        </row>
        <row r="3208">
          <cell r="A3208">
            <v>3205</v>
          </cell>
          <cell r="B3208" t="str">
            <v>080.070.1567</v>
          </cell>
          <cell r="E3208" t="str">
            <v>SUSTANCIAS BIOLOGICAS. ANTICUERPO CONTRA TIROGLOBULINA. PARA MINIMO 20 PRUEBAS.RTC.</v>
          </cell>
          <cell r="U3208">
            <v>44</v>
          </cell>
          <cell r="V3208">
            <v>109</v>
          </cell>
        </row>
        <row r="3209">
          <cell r="A3209">
            <v>3206</v>
          </cell>
          <cell r="B3209" t="str">
            <v>080.070.1658</v>
          </cell>
          <cell r="E3209" t="str">
            <v>SUSTANCIAS BIOLOGICAS. COMPLEJO ABC. AVIDINA- BIOTINA-PEROXIDASA ANTI-RATON(MONOCLONAL). FRASCO CON 1 ML. RTC.</v>
          </cell>
          <cell r="U3209">
            <v>84</v>
          </cell>
          <cell r="V3209">
            <v>209</v>
          </cell>
        </row>
        <row r="3210">
          <cell r="A3210">
            <v>3207</v>
          </cell>
          <cell r="B3210" t="str">
            <v>080.070.1666</v>
          </cell>
          <cell r="E3210" t="str">
            <v>SUSTANCIAS BIOLOGICAS. COMPLEJO ABC. AVIDINA-BIOTINA-PEROXIDASA ANTI-CONEJO(POLICLONAL). FRASCO CON 1 ML. RTC.</v>
          </cell>
          <cell r="U3210">
            <v>52</v>
          </cell>
          <cell r="V3210">
            <v>129</v>
          </cell>
        </row>
        <row r="3211">
          <cell r="A3211">
            <v>3208</v>
          </cell>
          <cell r="B3211" t="str">
            <v>080.070.1831</v>
          </cell>
          <cell r="E3211" t="str">
            <v>SUSTANCIAS BIOLOGICAS. ANTICUERPO MONOCLONAL CONTRA CELULAS RETICULARESDENDRITICAS HUMANAS PREPARADO EN RATON CD 35. FRASCO CON 1 ML Y 2 ML. RTC.</v>
          </cell>
          <cell r="U3211">
            <v>64</v>
          </cell>
          <cell r="V3211">
            <v>159</v>
          </cell>
        </row>
        <row r="3212">
          <cell r="A3212">
            <v>3209</v>
          </cell>
          <cell r="B3212" t="str">
            <v>080.070.2557</v>
          </cell>
          <cell r="E3212" t="str">
            <v>PRUEBAS RAPIDAS. PRUEBA RAPIDA PARA LA DETERMINACION CUALITATIVA DE TROPONINA TCARDIACA EN SANGRE TOTAL; PARA 5 PRUEBAS. RTC.</v>
          </cell>
          <cell r="U3212">
            <v>28</v>
          </cell>
          <cell r="V3212">
            <v>68</v>
          </cell>
        </row>
        <row r="3213">
          <cell r="A3213">
            <v>3210</v>
          </cell>
          <cell r="B3213" t="str">
            <v>080.070.2797</v>
          </cell>
          <cell r="E3213" t="str">
            <v>REACTIVOS POR INMUNOHISTOQUIMICA. ANTICUERPO MONOCLONAL ANTI-ACTINA MUSCULARPARA INMUNOHISTOQUIMICA EN TEJIDO FIJADO EN FORMOL O TEJIDO EN FRESCO. PARATECNICA MANUAL O AUTOMATIZADA. EL USUARIO DETERMINARA ESTAS CARACTERISTICAS DEACUERDO A SUS NECESIDADES. LA CLONA LA DETERMINARA EL USUARIO. PRUEBA. RTC.</v>
          </cell>
          <cell r="U3213">
            <v>70</v>
          </cell>
          <cell r="V3213">
            <v>174</v>
          </cell>
        </row>
        <row r="3214">
          <cell r="A3214">
            <v>3211</v>
          </cell>
          <cell r="B3214" t="str">
            <v>080.070.2805</v>
          </cell>
          <cell r="E3214" t="str">
            <v>REACTIVOS POR INMUNOHISTOQUIMICA. ANTICUERPO MONOCLONAL ANTI MELAN-A PARAINMUNOHISTOQUIMICA EN TEJIDO FIJADO EN FORMOL O TEJIDO EN FRESCO. PARA TECNICAMANUAL O AUTOMATIZADA. EL USUARIO DETERMINARA ESTAS CARACTERISTICAS DE ACUERDO ASUS NECESIDADES. LA CLONA LA DETERMINARA EL USUARIO. PRUEBA RTC.</v>
          </cell>
          <cell r="U3214">
            <v>64</v>
          </cell>
          <cell r="V3214">
            <v>157</v>
          </cell>
        </row>
        <row r="3215">
          <cell r="A3215">
            <v>3212</v>
          </cell>
          <cell r="B3215" t="str">
            <v>080.070.2813</v>
          </cell>
          <cell r="E3215" t="str">
            <v>REACTIVOS POR INMUNOHISTOQUIMICA ANTICUERPO MONOCLONAL ANTI ACTINA MUSCULOESPECIFICO PARA INMUNOHISTOQUIMICA EN TEJIDO FIJADO EN FORMOL O TEJIDO ENFRESCO. PARA TECNICA MANUAL O AUTOMATIZADA. EL USUARIO DETERMINARA ESTASCARACTERISTICAS DE ACUERDO A SUS NECESIDADES. LA CLONA LA DETERMINARA ELUSUARIO. PRUEBA RTC.</v>
          </cell>
          <cell r="U3215">
            <v>66</v>
          </cell>
          <cell r="V3215">
            <v>163</v>
          </cell>
        </row>
        <row r="3216">
          <cell r="A3216">
            <v>3213</v>
          </cell>
          <cell r="B3216" t="str">
            <v>080.070.2821</v>
          </cell>
          <cell r="E3216" t="str">
            <v>REACTIVOS POR INMUNOHISTOQUIMICA. ANTICUERPO MONOCLONAL ANTI-CELULASMESOTELIALES. PARA INMUNOHISTOQUIMICA EN TEJIDO FIJADO EN FORMOL O TEJIDO ENFRESCO. PARA TECNICA MANUAL O AUTOMATIZADA. EL USUARIO DETERMINARA ESTASCARACTERISTICAS DE ACUERDO A SUS NECESIDADES. LA CLONA LA DETERMINARA ELUSUARIO. PRUEBA RTC.</v>
          </cell>
          <cell r="U3216">
            <v>54</v>
          </cell>
          <cell r="V3216">
            <v>133</v>
          </cell>
        </row>
        <row r="3217">
          <cell r="A3217">
            <v>3214</v>
          </cell>
          <cell r="B3217" t="str">
            <v>080.070.2839</v>
          </cell>
          <cell r="E3217" t="str">
            <v>REACTIVOS POR INMUNOHISTOQUIMICA. ANTICUERPO MONOCLONAL ANTI CICLINA D1. PARAINMUNOHISTOQUIMICA EN TEJIDO FIJADO EN FORMOL O TEJIDO EN FRESCO. PARA TECNICAMANUAL  AUTOMATIZADA. EL USUARIO DETERMINARA ESTAS CARACTERISTICAS DE ACUERDO ASUS NECESIDADES. LA CLONA LA DETERMINARA EL USUARIO. PRUEBA RTC.</v>
          </cell>
          <cell r="U3217">
            <v>60</v>
          </cell>
          <cell r="V3217">
            <v>147</v>
          </cell>
        </row>
        <row r="3218">
          <cell r="A3218">
            <v>3215</v>
          </cell>
          <cell r="B3218" t="str">
            <v>080.070.2847</v>
          </cell>
          <cell r="E3218" t="str">
            <v>REACTIVOS POR INMUNOHISTOQUIMICA. ANTICUERPO MONOCLONAL ANTI-MYOD1. PARAINMUNOHISTOQUIMICA EN TEJIDO FIJADO EN FORMOL O TEJIDO EN FRESCO. PARA TECNICAMANUAL O AUTOMATIZADA. EL USUARIO DETERMINARA ESTAS CARACTERISTICAS DE ACUERDO ASUS NECESIDADES. LA CLONA LA DETERMINARA EL USUARIO. PRUEBA. RTC.</v>
          </cell>
          <cell r="U3218">
            <v>76</v>
          </cell>
          <cell r="V3218">
            <v>187</v>
          </cell>
        </row>
        <row r="3219">
          <cell r="A3219">
            <v>3216</v>
          </cell>
          <cell r="B3219" t="str">
            <v>080.070.2854</v>
          </cell>
          <cell r="E3219" t="str">
            <v>REACTIVOS POR INMUNOHISTOQUIMICA. ANTICUERPO MONOCLONAL ANTI-CD4. PARAINMUNOHISTOQUIMICA EN TEJIDO FIJADO EN FORMOL O TEJIDO EN FRESCO. PARA TECNICAMANUAL O AUTOMATIZADA. EL USUARIO DETERMINARA ESTAS CARACTERISTICAS DE ACUERDO ASUS NECESIDADES. LA CLONA LA DETERMINARA EL USUARIO PRUEBA. RTC.</v>
          </cell>
          <cell r="U3219">
            <v>76</v>
          </cell>
          <cell r="V3219">
            <v>187</v>
          </cell>
        </row>
        <row r="3220">
          <cell r="A3220">
            <v>3217</v>
          </cell>
          <cell r="B3220" t="str">
            <v>080.070.2862</v>
          </cell>
          <cell r="E3220" t="str">
            <v>REACTIVOS POR INMUNOHISTOQUIMICA. ANTICUERPO MONOCLONAL ANTI CD 20. PARAINMUNOHISTOQUIMICA EN TEJIDO FIJADO EN FORMOL O TEJIDO EN FRESCO. PARA TECNICAMANUAL O AUTOMATIZADA. EL USUARIO DETERMINARA ESTAS CARACTERISTICAS DE ACUERDO ASUS NECESIDADES. LA CLONA LA DETERMINARA EL USUARIO. PRUEBA. RTC.</v>
          </cell>
          <cell r="U3220">
            <v>79</v>
          </cell>
          <cell r="V3220">
            <v>195</v>
          </cell>
        </row>
        <row r="3221">
          <cell r="A3221">
            <v>3218</v>
          </cell>
          <cell r="B3221" t="str">
            <v>080.070.2870</v>
          </cell>
          <cell r="E3221" t="str">
            <v>REACTIVOS POR INMUNOHISTOQUIMICA. ANTICUERPO MONOCLONAL ANTI CD23. PARAINMUNOHISTOQUIMICA EN TEJIDO FIJADO EN FORMOL O TEJIDO EN FRESCO. PARA TECNICAMANUAL O AUTOMATIZADA. EL USUARIO DETERMINARA ESTAS CARACTERISTICAS DE ACUERDO ASUS NECESIDADES. LA CLONA LA DETERMINARA EL USUARIO. PRUEBA RTC.</v>
          </cell>
          <cell r="U3221">
            <v>66</v>
          </cell>
          <cell r="V3221">
            <v>163</v>
          </cell>
        </row>
        <row r="3222">
          <cell r="A3222">
            <v>3219</v>
          </cell>
          <cell r="B3222" t="str">
            <v>080.070.2888</v>
          </cell>
          <cell r="E3222" t="str">
            <v>REACTIVOS POR INMUNOHISTOQUIMICA. ANTICUERPO MONOCLONAL ANTI-CD 30. PARAINMUNOHISTOQUIMICA EN TEJIDO FIJADO EN FORMOL O TEJIDO EN FRESCO. PARA TECNICAMANUAL O AUTOMATIZADA. EL USUARIO DETERMINARA ESTAS CARACTERISTICAS DE ACUERDO ASUS NECESIDADES. LA CLONA LA DETERMINARA EL USUARIO. PRUEBA. RTC.</v>
          </cell>
          <cell r="U3222">
            <v>127</v>
          </cell>
          <cell r="V3222">
            <v>315</v>
          </cell>
        </row>
        <row r="3223">
          <cell r="A3223">
            <v>3220</v>
          </cell>
          <cell r="B3223" t="str">
            <v>080.070.2896</v>
          </cell>
          <cell r="E3223" t="str">
            <v>REACTIVOS POR INMUNOHISTOQUIMICA. ANTICUERPO MONOCLONAL ANTI-CD 34. PARAINMUNOHISTOQUIMICA EN TEJIDO FIJADO EN FORMOL O TEJIDO EN FRESCO. PARA TECNICAMANUAL O AUTOMATIZADA. EL USUARIO DETERMINARA ESTAS CARACTERISTICAS DE ACUERDO ASUS NECESIDADES. LA CLONA LA DETERMINARA EL USUARIO. PRUEBA. RTC.</v>
          </cell>
          <cell r="U3223">
            <v>77</v>
          </cell>
          <cell r="V3223">
            <v>191</v>
          </cell>
        </row>
        <row r="3224">
          <cell r="A3224">
            <v>3221</v>
          </cell>
          <cell r="B3224" t="str">
            <v>080.070.2904</v>
          </cell>
          <cell r="E3224" t="str">
            <v>REACTIVOS POR INMUNOHISTOQUIMICA. ANTICUERPO MONOCLONAL ANTI CD 68 (MACROFAGOS)PARA INMUNOHISTOQUIMICA EN TEJIDO FIJADO EN FORMOL O TEJIDO EN FRESCO. PARATECNICA MANUAL O AUTOMATIZADA. EL USUARIO DETERMINARA ESTAS CARACTERISTICAS DEACUERDO A SUS NECESIDADES. LA CLONA LA DETERMINARA EL USUARIO. PRUEBA. RTC.</v>
          </cell>
          <cell r="U3224">
            <v>97</v>
          </cell>
          <cell r="V3224">
            <v>241</v>
          </cell>
        </row>
        <row r="3225">
          <cell r="A3225">
            <v>3222</v>
          </cell>
          <cell r="B3225" t="str">
            <v>080.070.2912</v>
          </cell>
          <cell r="E3225" t="str">
            <v>REACTIVOS POR INMUNOHISTOQUIMICA. ANTICUERPO MONOCLONAL ANTI CD79. PARAINMUNOHISTOQUIMICA EN TEJIDO FIJADO EN FORMOL O TEJIDO EN FRESCO. PARA TECNICAMANUAL O AUTOMATIZADA. EL USUARIO DETERMINARA ESTAS CARACTERISTICAS DE ACUERDO ASUS NECESIDADES. LA CLONA LA DETERMINARA EL USUARIO. PRUEBA RTC.</v>
          </cell>
          <cell r="U3225">
            <v>61</v>
          </cell>
          <cell r="V3225">
            <v>150</v>
          </cell>
        </row>
        <row r="3226">
          <cell r="A3226">
            <v>3223</v>
          </cell>
          <cell r="B3226" t="str">
            <v>080.070.2920</v>
          </cell>
          <cell r="E3226" t="str">
            <v>REACTIVOS POR INMUNOHISTOQUIMICA. ANTICUERPO MONOCLONAL ANTI CD 117 C-KIT. PARAINMUNOHISTOQUIMICA EN TEJIDO FIJADO EN FORMOL O TEJIDO EN FRESCO. PARA TECNICAMANUAL O AUTOMATIZADA. EL USUARIO DETERMINARA ESTAS CARACTERISTICAS DE ACUERDO ASUS NECESIDADES. LA CLONA LA DETERMINARA EL USUARIO. PRUEBA RTC.</v>
          </cell>
          <cell r="U3226">
            <v>104</v>
          </cell>
          <cell r="V3226">
            <v>259</v>
          </cell>
        </row>
        <row r="3227">
          <cell r="A3227">
            <v>3224</v>
          </cell>
          <cell r="B3227" t="str">
            <v>080.070.2938</v>
          </cell>
          <cell r="E3227" t="str">
            <v>REACTIVOS POR INMUNOHISTOQUIMICA. ANTICUERPO MONOCLONAL ANTI CA 125. PARAINMUNOHISTOQUIMICA EN TEJIDO FIJADO EN FORMOL O TEJIDO EN FRESCO. PARA TECNICAMANUAL O AUTOMATIZADA. EL USUARIO DETERMINARA ESTAS CARACTERISTICAS DE ACUERDO ASUS NECESIDADES. LA CLONA LA DETERMINARA EL USUARIO. PRUEBA. RTC.</v>
          </cell>
          <cell r="U3227">
            <v>85</v>
          </cell>
          <cell r="V3227">
            <v>211</v>
          </cell>
        </row>
        <row r="3228">
          <cell r="A3228">
            <v>3225</v>
          </cell>
          <cell r="B3228" t="str">
            <v>080.070.2946</v>
          </cell>
          <cell r="E3228" t="str">
            <v>REACTIVOS POR INMUNOHISTOQUIMICA. ANTICUERPO MONOCLONAL ANTI CD138. PARAINMUNOHISTOQUIMICA EN TEJIDO FIJADO EN FORMOL O TEJIDO EN FRESCO. PARA TECNICAMANUAL O AUTOMATIZADA. EL USUARIO DETERMINARA ESTAS CARACTERISTICAS DE ACUERDO ASUS NECESIDADES. LA CLONA LA DETERMINARA EL USUARIO. PRUEBA RTC.</v>
          </cell>
          <cell r="U3228">
            <v>96</v>
          </cell>
          <cell r="V3228">
            <v>239</v>
          </cell>
        </row>
        <row r="3229">
          <cell r="A3229">
            <v>3226</v>
          </cell>
          <cell r="B3229" t="str">
            <v>080.070.2953</v>
          </cell>
          <cell r="E3229" t="str">
            <v>REACTIVOS POR INMUNIHISTOQUIMICA. ANTICUERPO MONOCLONAL ANTI-P-53. PARAINMUNOHISTOQUIMICA EN TEJIDO FIJADO EN FORMOL O TEJIDO EN FRESCO. PARA TECNICAMANUAL O AUTOMATIZADA. EL USUARIO DETERMINARA ESTAS CARACTERISTICAS DE ACUERDO ASUS NECESIDADES. LA CLONA LA DETERMINARA EL USUARIO. PRUEBA. RTC.</v>
          </cell>
          <cell r="U3229">
            <v>58</v>
          </cell>
          <cell r="V3229">
            <v>143</v>
          </cell>
        </row>
        <row r="3230">
          <cell r="A3230">
            <v>3227</v>
          </cell>
          <cell r="B3230" t="str">
            <v>080.070.2961</v>
          </cell>
          <cell r="E3230" t="str">
            <v>REACTIVOS POR INMUNOHISTOQUIMICA. ANTICUERPO MONOCLONAL ANTI CALPONINA. PARAINMUNOHISTOQUIMICA EN TEJIDO FIJADO EN FORMOL O TEJIDO EN FRESCO.  PARA TECNICAMANUAL O AUTOMATIZADA. EL USUARIO DETERMINARA ESTAS CARACTERISTICAS DE ACUERDO ASUS NECESIDADES. LA CLONA LA DETERMINARA EL USUARIO. PRUEBA. RTC.</v>
          </cell>
          <cell r="U3230">
            <v>48</v>
          </cell>
          <cell r="V3230">
            <v>119</v>
          </cell>
        </row>
        <row r="3231">
          <cell r="A3231">
            <v>3228</v>
          </cell>
          <cell r="B3231" t="str">
            <v>080.070.2979</v>
          </cell>
          <cell r="E3231" t="str">
            <v>REACTIVOS POR INMUNOHISTOQUIMICA. ANTICUERPO MONOCLONAL ANTI CITOMEGALOVIRUS.PARA INMUNOHISTOQUIMICA EN TEJIDO FIJADO EN FORMOL O TEJIDO EN FRESCO. PARATECNICA MANUAL O AUTOMATIZADA. EL USUARIO DETERMINARA ESTAS CARACTERISTICAS DEACUERDO A SUS NECESIDADES. LA CLONA LA DETERMINARA EL USUARIO. PRUEBA. RTC.</v>
          </cell>
          <cell r="U3231">
            <v>76</v>
          </cell>
          <cell r="V3231">
            <v>187</v>
          </cell>
        </row>
        <row r="3232">
          <cell r="A3232">
            <v>3229</v>
          </cell>
          <cell r="B3232" t="str">
            <v>080.070.2987</v>
          </cell>
          <cell r="E3232" t="str">
            <v>REACTIVOS POR INMUNOHISTOQUIMICA. ANTICUERPO MONOCLONAL ANTI CITOQUERATINA 7.PARA INMUNOHISTOQUIMICA EN TEJIDO FIJADO EN FORMOL O TEJIDO EN FRESCO. PARATECNICA MANUAL O AUTOMATIZADA. EL USUARIO DETERMINARA ESTAS CARACTERISTICAS DEACUERDO A SUS NECESIDADES. LA CLONA LA DETERMINARA EL USUARIO. PRUEBA RTC.</v>
          </cell>
          <cell r="U3232">
            <v>67</v>
          </cell>
          <cell r="V3232">
            <v>165</v>
          </cell>
        </row>
        <row r="3233">
          <cell r="A3233">
            <v>3230</v>
          </cell>
          <cell r="B3233" t="str">
            <v>080.070.2995</v>
          </cell>
          <cell r="E3233" t="str">
            <v>REACTIVOS POR INMUNOHISTOQUIMICA. ANTICUERPO MONOCLONAL ANTI CITOQUERATINA 20.PARA INMUNOHISTOQUIMICA EN TEJIDO FIJADO EN FORMOL O TEJIDO EN FRESCO.  PARATECNICA MANUAL O AUTOMATIZADA. EL USUARIO DETERMINARA ESTAS CARACTERISTICAS DEACUERDO A SUS NECESIDADES. LA CLONA LA DETERMINARA EL USUARIO. PRUEBA. RTC.</v>
          </cell>
          <cell r="U3233">
            <v>86</v>
          </cell>
          <cell r="V3233">
            <v>213</v>
          </cell>
        </row>
        <row r="3234">
          <cell r="A3234">
            <v>3231</v>
          </cell>
          <cell r="B3234" t="str">
            <v>080.070.3001</v>
          </cell>
          <cell r="E3234" t="str">
            <v>REACTIVOS POR INMUNOHISTOQUIMICA. ANTICUERPO MONOCLONAL ANTI ANTIGENO COLAGENAIV. PARA INMUNOHISTOQUIMICA EN TEJIDO FIJADO EN FORMOL O TEJIDO EN FRESCO. PARATECNICA MANUAL O AUTOMATIZADA. EL USUARIO DETERMINARA ESTAS CARACTERISTICAS DEACUERDO A SUS NECESIDADES. LA CLONA LA DETERMINARA EL USUARIO. PRUEBA. RTC.</v>
          </cell>
          <cell r="U3234">
            <v>76</v>
          </cell>
          <cell r="V3234">
            <v>187</v>
          </cell>
        </row>
        <row r="3235">
          <cell r="A3235">
            <v>3232</v>
          </cell>
          <cell r="B3235" t="str">
            <v>080.070.3019</v>
          </cell>
          <cell r="E3235" t="str">
            <v>REACTIVOS POR INMUNOHISTOQUIMICA. ANTICUERPO MONOCLONAL ANTI FASCINA 55K2. PARAINMUNOHISTOQUIMICA EN TEJIDO FIJADO EN FORMOL O TEJIDO EN FRESCO. PARA TECNICAMANUAL O AUTOMATIZADA. EL USUARIO DETERMINARA ESTAS CARACTERISTICAS DE ACUERDO ASUS NECESIDADES. LA CLONA LA DETERMINARA EL USUARIO. PRUEBA. RTC.</v>
          </cell>
          <cell r="U3235">
            <v>49</v>
          </cell>
          <cell r="V3235">
            <v>121</v>
          </cell>
        </row>
        <row r="3236">
          <cell r="A3236">
            <v>3233</v>
          </cell>
          <cell r="B3236" t="str">
            <v>080.070.3027</v>
          </cell>
          <cell r="E3236" t="str">
            <v>REACTIVOS POR INMUNOHISTOQUIMICA. ANTICUERPO MONOCLONAL ANTI FACTOR DETRANSCRIPCION TIROIDEO (TTF). PARA INMUNOHISTOQUIMICA EN TEJIDO FIJADO EN FORMOLO TEJIDO EN FRESCO. PARA TECNICA MANUAL O AUTOMATIZADA. EL USUARIO DETERMINARAESTAS CARACTERISTICAS DE ACUERDO A SUS NECESIDADES. LA CLONA LA DETERMINARA ELUSUARIO. PRUEBA RTC.</v>
          </cell>
          <cell r="U3236">
            <v>104</v>
          </cell>
          <cell r="V3236">
            <v>259</v>
          </cell>
        </row>
        <row r="3237">
          <cell r="A3237">
            <v>3234</v>
          </cell>
          <cell r="B3237" t="str">
            <v>080.070.3035</v>
          </cell>
          <cell r="E3237" t="str">
            <v>REACTIVOS POR INMUNOHISTOQUIMICA. ANTICUERPO MONOCLONAL ANTI GLICOFORINA A. PARAINMUNOHISTOQUIMICA EN TEJIDO FIJADO EN FORMOL O TEJIDO EN FRESCO. PARA TECNICAMANUAL O AUTOMATIZADA. EL USUARIO DETERMINARA ESTAS CARACTERISTICAS DE ACUERDO ASUS NECESIDADES. LA CLONA LA DETERMINARA EL USUARIO. PRUEBA. RTC.</v>
          </cell>
          <cell r="U3237">
            <v>58</v>
          </cell>
          <cell r="V3237">
            <v>143</v>
          </cell>
        </row>
        <row r="3238">
          <cell r="A3238">
            <v>3235</v>
          </cell>
          <cell r="B3238" t="str">
            <v>080.070.3043</v>
          </cell>
          <cell r="E3238" t="str">
            <v>REACTIVOS POR INMUNOHISTOQUIMICA. ANTICUERPO MONOCLONAL ANTI LAMININA. PARAINMUNOHISTOQUIMICA EN TEJIDO FIJADO EN FORMOL O TEJIDO EN FRESCO. PARA TECNICAMANUAL O AUTOMATIZADA. EL USUARIO DETERMINARA ESTAS CARACTERISTICAS DE ACUERDO ASUS NECESIDADES. LA CLONA LA DETERMINARA EL USUARIO. PRUEBA RTC.</v>
          </cell>
          <cell r="U3238">
            <v>57</v>
          </cell>
          <cell r="V3238">
            <v>141</v>
          </cell>
        </row>
        <row r="3239">
          <cell r="A3239">
            <v>3236</v>
          </cell>
          <cell r="B3239" t="str">
            <v>080.070.3050</v>
          </cell>
          <cell r="E3239" t="str">
            <v>REACTIVOS POR INMUNOHISTOQUIMICA. ANTICUERPO MONOCLONAL ANTI LEUCEMIA DE CELULASPELUDAS. PARA INMUNOHISTOQUIMICA EN TEJIDO FIJADO EN FORMOL O TEJIDO EN FRESCO.PARA TECNICA MANUAL O AUTOMATIZADA. EL USUARIO DETERMINARA ESTAS CARACTERISTICASDE ACUERDO A SUS NECESIDADES. LA CLONA LA DETERMINARA EL USUARIO. PRUEBA. RTC.</v>
          </cell>
          <cell r="U3239">
            <v>67</v>
          </cell>
          <cell r="V3239">
            <v>165</v>
          </cell>
        </row>
        <row r="3240">
          <cell r="A3240">
            <v>3237</v>
          </cell>
          <cell r="B3240" t="str">
            <v>080.070.3068</v>
          </cell>
          <cell r="E3240" t="str">
            <v>REACTIVOS POR INMUNOHISTOQUIMICA. ANTICUERPO MONOCLONAL ANTI MELANOSOMA. PARAINMUNOHISTOQUIMICA EN TEJIDO FIJADO EN O TEJIDO EN FRESCO. PARA TECNICA MANUAL OAUTOMATIZADA. EL USUARIO DETERMINARA ESTAS CARACTERISTICAS DE ACUERDO A SUSNECESIDADES. LA CLONA LA DETERMINARA EL USUARIO. PRUEBA RTC.</v>
          </cell>
          <cell r="U3240">
            <v>38</v>
          </cell>
          <cell r="V3240">
            <v>94</v>
          </cell>
        </row>
        <row r="3241">
          <cell r="A3241">
            <v>3238</v>
          </cell>
          <cell r="B3241" t="str">
            <v>080.070.3076</v>
          </cell>
          <cell r="E3241" t="str">
            <v>REACTIVOS POR INMUNOHISTOQUIMICA. ANTICUERPO MONOCLONAL MIC2 ANTI SARCOMA DEEWINGS PARA INMUNOHISTOQUIMICA EN TEJIDO FIJADO EN FORMOL O TEJIDO EN FRESCO.PARA TECNICA MANUAL O AUTOMATIZADA. EL USUARIO DETERMINARA ESTAS CARACTERISTICASDE ACUERDO A SUS NECESIDADES. LA CLONA LA DETERMINARA EL USUARIO. PRUEBA. RTC.</v>
          </cell>
          <cell r="U3241">
            <v>60</v>
          </cell>
          <cell r="V3241">
            <v>149</v>
          </cell>
        </row>
        <row r="3242">
          <cell r="A3242">
            <v>3239</v>
          </cell>
          <cell r="B3242" t="str">
            <v>080.070.3084</v>
          </cell>
          <cell r="E3242" t="str">
            <v>REACTIVOS POR INMUNOHISTOQUIMICA. ANTICUERPO MONOCLONAL ANTI MIOGENINA. PARAINMUNOHISTOQUIMICA EN TEJIDO FIJADO EN FORMOL O TEJIDO EN FRESCO. PARA TECNICAMANUAL O AUTOMATIZADA. EL USUARIO DETERMINARA ESTAS CARACTERISTICAS DE ACUERDO ASUS NECESIDADES. LA CLONA LA DETERMINARA EL USUARIO. PRUEBA. RTC.</v>
          </cell>
          <cell r="U3242">
            <v>87</v>
          </cell>
          <cell r="V3242">
            <v>215</v>
          </cell>
        </row>
        <row r="3243">
          <cell r="A3243">
            <v>3240</v>
          </cell>
          <cell r="B3243" t="str">
            <v>080.070.3092</v>
          </cell>
          <cell r="E3243" t="str">
            <v>REACTIVOS POR INMUNOHISTOQUIMICA. ANTICUERPO MONOCLONAL ANTI ONCOPROTEINA BCL2.PARA INMUNOHISTOQUIMICA EN TEJIDO FIJADO EN FORMOL O TEJIDO EN FRESCO. PARATECNICA MANUAL O AUTOMATIZADA. EL USUARIO DETERMINARA ESTAS CARACTERISTICAS DEACUERDO A SUS NECESIDADES. LA CLONA LA DETERMINARA EL USUARIO. PRUEBA. RTC.</v>
          </cell>
          <cell r="U3243">
            <v>114</v>
          </cell>
          <cell r="V3243">
            <v>283</v>
          </cell>
        </row>
        <row r="3244">
          <cell r="A3244">
            <v>3241</v>
          </cell>
          <cell r="B3244" t="str">
            <v>080.070.3100</v>
          </cell>
          <cell r="E3244" t="str">
            <v>REACTIVOS POR INMUNOHISTOQUIMICA. ANTICUERPO MONOCLONAL ANTI PAX 5 PARAINMUNOHISTOQUIMICA EN TEJIDO FIJADO EN FORMOL O TEJIDO EN FRESCO. PARA TECNICAMANUAL O AUTOMATIZADA. EL USUARIO DETERMINARA ESTAS CARACTERISTICAS DE ACUERDO ASUS NECESIDADES. LA CLONA LA DETERMINARA EL USUARIO. PRUEBA RTC.</v>
          </cell>
          <cell r="U3244">
            <v>105</v>
          </cell>
          <cell r="V3244">
            <v>261</v>
          </cell>
        </row>
        <row r="3245">
          <cell r="A3245">
            <v>3242</v>
          </cell>
          <cell r="B3245" t="str">
            <v>080.070.3118</v>
          </cell>
          <cell r="E3245" t="str">
            <v>REACTIVOS POR INMUNOHISTOQUIMICA. ANTICUERPO MONOCLONAL ANTI PROTEINA BCL6. PARAINMUNOHISTOQUIMICA EN TEJIDO FIJADO EN FORMOL O TEJIDO EN FRESCO. PARA TECNICAMANUAL O AUTOMATIZADA. EL USUARIO DETERMINARA ESTAS CARACTERISTICAS DE ACUERDO ASUS NECESIDADES. LA CLONA LA DETERMINARA EL USUARIO. PRUEBA. RTC.</v>
          </cell>
          <cell r="U3245">
            <v>82</v>
          </cell>
          <cell r="V3245">
            <v>203</v>
          </cell>
        </row>
        <row r="3246">
          <cell r="A3246">
            <v>3243</v>
          </cell>
          <cell r="B3246" t="str">
            <v>080.070.3126</v>
          </cell>
          <cell r="E3246" t="str">
            <v>REACTIVOS POR INMUNOHISTOQUIMICA. ANTICUERPO MONOCLONAL ANTI PROTEINA P63 PARAINMUNOHISTOQUIMICA EN TEJIDO FIJADO EN FORMOL O TEJIDO EN FRESCO. PARA TECNICAMANUAL O AUTOMATIZADA. EL USUARIO DETERMINARA ESTAS CARACTERISTICAS DE ACUERDO ASUS NECESIDADES. LA CLONA LA DETERMINARA EL USUARIO. PRUEBA. RTC.</v>
          </cell>
          <cell r="U3246">
            <v>92</v>
          </cell>
          <cell r="V3246">
            <v>229</v>
          </cell>
        </row>
        <row r="3247">
          <cell r="A3247">
            <v>3244</v>
          </cell>
          <cell r="B3247" t="str">
            <v>080.070.3134</v>
          </cell>
          <cell r="E3247" t="str">
            <v>REACTIVOS POR INMUNOHISTOQUIMICA. ANTICUERPO MONOCLONAL ANTI PROTEINA TUMOR DEWILMS PARA INMUNOHISTOQUIMICA EN TEJIDO FIJADO EN FORMOL O TEJIDO EN FRESCO.PARA TECNICA MANUAL O AUTOMATIZADA. EL USUARIO DETERMINARA ESTAS CARACTERISTICASDE ACUERDO A SUS NECESIDADES. LA CLONA LA DETERMINARA EL USUARIO. PRUEBA. RTC.</v>
          </cell>
          <cell r="U3247">
            <v>76</v>
          </cell>
          <cell r="V3247">
            <v>187</v>
          </cell>
        </row>
        <row r="3248">
          <cell r="A3248">
            <v>3245</v>
          </cell>
          <cell r="B3248" t="str">
            <v>080.070.3142</v>
          </cell>
          <cell r="E3248" t="str">
            <v>REACTIVOS POR INMUNOHISTOQUIMICA. ANTICUERPO MONOCLONAL ANTI RECEPTOR DEL FACTORDE CRECIMIENTO EPIDERMICO (EGFR) PARA INMUNOHISTOQUIMICA EN TEJIDO FIJADO ENFORMOL O TEJIDO EN FRESCO. PARA TECNICA MANUAL O AUTOMATIZADA. EL USUARIODETERMINARA ESTAS CARACTERISTICAS DE ACUERDO A SUS NECESIDADES. LA CLONA LADETERMINARA EL USUARIO. PRUEBA. RTC.</v>
          </cell>
          <cell r="U3248">
            <v>56</v>
          </cell>
          <cell r="V3248">
            <v>139</v>
          </cell>
        </row>
        <row r="3249">
          <cell r="A3249">
            <v>3246</v>
          </cell>
          <cell r="B3249" t="str">
            <v>080.070.3159</v>
          </cell>
          <cell r="E3249" t="str">
            <v>REACTIVOS POR INMUNOHISTOQUIMICA. ANTICUERPO MONOCLONAL ANTI TRIPTASA-CELULAS DEMASTOCITOS PARA INMUNOHISTOQUIMICA EN TEJIDO FIJADO EN FORMOL O TEJIDO ENFRESCO. PARA TECNICA MANUAL O AUTOMATIZADA. EL USUARIO DETERMINARA ESTASCARACTERISTICAS DE ACUERDO A SUS NECESIDADES. LA CLONA LA DETERMINARA ELUSUARIO. PRUEBA. RTC.</v>
          </cell>
          <cell r="U3249">
            <v>47</v>
          </cell>
          <cell r="V3249">
            <v>115</v>
          </cell>
        </row>
        <row r="3250">
          <cell r="A3250">
            <v>3247</v>
          </cell>
          <cell r="B3250" t="str">
            <v>080.070.3167</v>
          </cell>
          <cell r="E3250" t="str">
            <v>REACTIVOS POR INMUNOHISTOQUIMICA. ANTICUERPO MONOCLONAL ANTI-QUERATINA AE1/AE3PARA INMUNOHISTOQUIMICA EN TEJIDO FIJADO EN FORMOL O TEJIDO EN FRESCO. PARATECNICA MANUAL O AUTOMATIZADA. EL USUARIO DETERMINARA ESTAS CARACTERISTICAS DEACUERDO A SUS NECESIDADES. LA CLONA LA DETERMINARA EL USUARIO. PRUEBA. RTC.</v>
          </cell>
          <cell r="U3250">
            <v>125</v>
          </cell>
          <cell r="V3250">
            <v>311</v>
          </cell>
        </row>
        <row r="3251">
          <cell r="A3251">
            <v>3248</v>
          </cell>
          <cell r="B3251" t="str">
            <v>080.070.3175</v>
          </cell>
          <cell r="E3251" t="str">
            <v>REACTIVOS POR INMUNOHISTOQUIMICA. ANTICUERPO MONOCLONAL ANTI CD 31 PARAINMUNOHISTOQUIMICA EN TEJIDO FIJADO EN FORMOL O TEJIDO EN FRESCO. PARA TECNICAMANUAL O AUTOMATIZADA. EL USUARIO DETERMINARA ESTAS CARACTERISTICAS DE ACUERDO ASUS NECESIDADES. LA CLONA LA DETERMINARA EL USUARIO. PRUEBA. RTC.</v>
          </cell>
          <cell r="U3251">
            <v>48</v>
          </cell>
          <cell r="V3251">
            <v>119</v>
          </cell>
        </row>
        <row r="3252">
          <cell r="A3252">
            <v>3249</v>
          </cell>
          <cell r="B3252" t="str">
            <v>080.070.3183</v>
          </cell>
          <cell r="E3252" t="str">
            <v>REACTIVOS POR INMUNOHISTOQUIMICA. ANTICUERPO MONOCLONAL ANTI-CD 15. PARAINMUNOHISTOQUIMICA EN TEJIDO FIJADO EN FORMOL O TEJIDO EN FRESCO. PARA TECNICAMANUAL O AUTOMATIZADA. EL USUARIO DETERMINARA ESTAS CARACTERISTICAS DE ACUERDO ASUS NECESIDADES. LA CLONA LA DETERMINARA EL USUARIO. PRUEBA. RTC.</v>
          </cell>
          <cell r="U3252">
            <v>88</v>
          </cell>
          <cell r="V3252">
            <v>217</v>
          </cell>
        </row>
        <row r="3253">
          <cell r="A3253">
            <v>3250</v>
          </cell>
          <cell r="B3253" t="str">
            <v>080.070.3191</v>
          </cell>
          <cell r="E3253" t="str">
            <v>REACTIVOS POR INMUNOHISTOQUIMICA. ANTICUERPO MONOCLONAL ANTI CROMOGRANINA. PARAINMUNOHISTOQUIMICA EN TEJIDO FIJADO EN FORMOL O TEJIDO EN FRESCO. PARA TECNICAMANUAL O AUTOMATIZADA. EL USUARIO DETERMINARA ESTAS CARACTERISTICAS DE ACUERDO ASUS NECESIDADES. LA CLONA LA DETERMINARA EL USUARIO. PRUEBA. RTC.</v>
          </cell>
          <cell r="U3253">
            <v>132</v>
          </cell>
          <cell r="V3253">
            <v>327</v>
          </cell>
        </row>
        <row r="3254">
          <cell r="A3254">
            <v>3251</v>
          </cell>
          <cell r="B3254" t="str">
            <v>080.070.3209</v>
          </cell>
          <cell r="E3254" t="str">
            <v>REACTIVOS POR INMUNOHISTOQUIMICA. ANTICUERPO MONOCLONAL ANTI-DESMINA. PARAINMUNOHISTOQUIMICA EN TEJIDO FIJADO EN FORMOL O TEJIDO EN FRESCO. PARA TECNICAMANUAL O AUTOMATIZADA. EL USUARIO DETERMINARA ESTAS CARACTERISTICAS DE ACUERDO ASUS NECESIDADES. LA CLONA LA DETERMINARA EL USUARIO. PRUEBA. RTC.</v>
          </cell>
          <cell r="U3254">
            <v>86</v>
          </cell>
          <cell r="V3254">
            <v>213</v>
          </cell>
        </row>
        <row r="3255">
          <cell r="A3255">
            <v>3252</v>
          </cell>
          <cell r="B3255" t="str">
            <v>080.070.3217</v>
          </cell>
          <cell r="E3255" t="str">
            <v>REACTIVOS POR INMUNOHISTOQUIMICA. ANTICUERPO MONOCLONAL ANTI-RECEPTOR DEESTROGENOS (ER). PARA INMUNOHISTOQUIMICA EN TEJIDO FIJADO EN FORMOL O TEJIDO ENFRESCO. PARA TECNICA MANUAL O AUTOMATIZADA. EL USUARIO DETERMINARA ESTASCARACTERISTICAS DE ACUERDO A SUS NECESIDADES. LA CLONA LA DETERMINARA ELUSUARIO. PRUEBA. RTC.</v>
          </cell>
          <cell r="U3255">
            <v>57</v>
          </cell>
          <cell r="V3255">
            <v>141</v>
          </cell>
        </row>
        <row r="3256">
          <cell r="A3256">
            <v>3253</v>
          </cell>
          <cell r="B3256" t="str">
            <v>080.070.3225</v>
          </cell>
          <cell r="E3256" t="str">
            <v>REACTIVOS POR INMUNOHISTOQUIMICA. ANTICUERPO POLICLONAL ANTI KAPPA. PARAINMUNOHISTOQUIMICA EN TEJIDO FIJADO EN FORMOL O TEJIDO EN FRESCO. PARA TECNICAMANUAL O AUTOMATIZADA. EL USUARIO DETERMINARA ESTAS CARACTERISTICAS DE ACUERDO ASUS NECESIDADES. LA CLONA LA DETERMINARA EL USUARIO. PRUEBA. RTC.</v>
          </cell>
          <cell r="U3256">
            <v>56</v>
          </cell>
          <cell r="V3256">
            <v>139</v>
          </cell>
        </row>
        <row r="3257">
          <cell r="A3257">
            <v>3254</v>
          </cell>
          <cell r="B3257" t="str">
            <v>080.070.3233</v>
          </cell>
          <cell r="E3257" t="str">
            <v>REACTIVOS POR INMUNOHISTOQUIMICA. ANTICUERPO POLICLONAL ANTI LAMBDA. PARAINMUNOHISTOQUIMICA EN TEJIDO FIJADO EN FORMOL O TEJIDO EN FRESCO. PARA TECNICAMANUAL O AUTOMATIZADA. EL USUARIO DETERMINARA ESTAS CARACTERISTICAS DE ACUERDO ASUS NECESIDADES. LA CLONA LA DETERMINARA EL USUARIO. PRUEBA. RTC.</v>
          </cell>
          <cell r="U3257">
            <v>56</v>
          </cell>
          <cell r="V3257">
            <v>139</v>
          </cell>
        </row>
        <row r="3258">
          <cell r="A3258">
            <v>3255</v>
          </cell>
          <cell r="B3258" t="str">
            <v>080.070.3241</v>
          </cell>
          <cell r="E3258" t="str">
            <v>REACTIVOS POR INMUNOHISTOQUIMICA. ANTICUERPO MONOCLONAL ANTI RECEPTOR DEPROGESTERONA (PR) PARA INMUNOHISTOQUIMICA EN TEJIDO FIJADO EN FORMOL O TEJIDO ENFRESCO. PARA TECNICA MANUAL O AUTOMATIZADA. EL USUARIO DETERMINARA ESTASCARACTERISTICAS DE ACUERDO A SUS NECESIDADES. LA CLONA LA DETERMINARA ELUSUARIO. PRUEBA. RTC.</v>
          </cell>
          <cell r="U3258">
            <v>87</v>
          </cell>
          <cell r="V3258">
            <v>215</v>
          </cell>
        </row>
        <row r="3259">
          <cell r="A3259">
            <v>3256</v>
          </cell>
          <cell r="B3259" t="str">
            <v>080.070.3258</v>
          </cell>
          <cell r="E3259" t="str">
            <v>REACTIVOS POR INMUNOHISTOQUIMICA. ANTICUERPO POLICLONAL ANTI-S 100 PARAINMUNOHISTOQUIMICA EN TEJIDO FIJADO EN FORMOL O TEJIDO EN FRESCO. PARA TECNICAMANUAL O AUTOMATIZADA. EL USUARIO DETERMINARA ESTAS CARACTERISTICAS DE ACUERDO ASUS NECESIDADES. LA CLONA LA DETERMINARA EL USUARIO. PRUEBA. RTC.</v>
          </cell>
          <cell r="U3259">
            <v>76</v>
          </cell>
          <cell r="V3259">
            <v>189</v>
          </cell>
        </row>
        <row r="3260">
          <cell r="A3260">
            <v>3257</v>
          </cell>
          <cell r="B3260" t="str">
            <v>080.070.3266</v>
          </cell>
          <cell r="E3260" t="str">
            <v>REACTIVOS POR INMUNOHISTOQUIMICA ANTICUERPO MONOCLONAL ANTI VIMENTINA PARAINMUNOHISTOQUIMICA EN TEJIDO FIJADO EN FORMOL O TEJIDO EN FRESCO. PARA TECNICAMANUAL O AUTOMATIZADA. EL USUARIO DETERMINARA ESTAS CARACTERISTICAS DE ACUERDO ASUS NECESIDADES. LA CLONA LA DETERMINARA EL USUARIO. PRUEBA. RTC.</v>
          </cell>
          <cell r="U3260">
            <v>85</v>
          </cell>
          <cell r="V3260">
            <v>211</v>
          </cell>
        </row>
        <row r="3261">
          <cell r="A3261">
            <v>3258</v>
          </cell>
          <cell r="B3261" t="str">
            <v>080.070.3274</v>
          </cell>
          <cell r="E3261" t="str">
            <v>REACTIVOS POR INMUNOHISTOQUIMICA DILUYENTE DE ANTICUERPOS PARAINMUNOHISTOQUIMICA EN TEJIDO FIJADO EN FORMOL O TEJIDO EN FRESCO. PARA TECNICAMANUAL O AUTOMATIZADA. EL USUARIO DETERMINARA ESTAS CARACTERISTICAS DE ACUERDO ASUS NECESIDADES. LA CLONA LA DETERMINARA EL USUARIO. PRUEBA. RTC.</v>
          </cell>
          <cell r="U3261">
            <v>160</v>
          </cell>
          <cell r="V3261">
            <v>399</v>
          </cell>
        </row>
        <row r="3262">
          <cell r="A3262">
            <v>3259</v>
          </cell>
          <cell r="B3262" t="str">
            <v>080.070.3282</v>
          </cell>
          <cell r="E3262" t="str">
            <v>REACTIVOS POR INMUNOHISTOQUIMICA. ANTICUERPO MONOCLONAL ANTI-MUC2 PARAINMUNOHISTOQUIMICA EN TEJIDO FIJADO EN FORMOL O TEJIDO EN FRESCO. PARA TECNICAMANUAL O AUTOMATIZADA. EL USUARIO DETERMINARA ESTAS CARACTERISTICAS DE ACUERDO ASUS NECESIDADES. LA CLONA LA DETERMINARA EL USUARIO. PRUEBA. RTC.</v>
          </cell>
          <cell r="U3262">
            <v>47</v>
          </cell>
          <cell r="V3262">
            <v>115</v>
          </cell>
        </row>
        <row r="3263">
          <cell r="A3263">
            <v>3260</v>
          </cell>
          <cell r="B3263" t="str">
            <v>080.070.3290</v>
          </cell>
          <cell r="E3263" t="str">
            <v>REACTIVOS POR INMUNOHISTOQUIMICA ANTICUERPO MONOCLONAL ANTI-MUC5AC. PARAINMUNOHISTOQUIMICA EN TEJIDO FIJADO EN FORMOL O TEJIDO EN FRESCO. PARA TECNICAMANUAL O AUTOMATIZADA. EL USUARIO DETERMINARA ESTAS CARACTERISTICAS DE ACUERDO ASUS NECESIDADES. LA CLONA LA DETERMINARA EL USUARIO. PRUEBA. RTC.</v>
          </cell>
          <cell r="U3263">
            <v>56</v>
          </cell>
          <cell r="V3263">
            <v>139</v>
          </cell>
        </row>
        <row r="3264">
          <cell r="A3264">
            <v>3261</v>
          </cell>
          <cell r="B3264" t="str">
            <v>080.070.3308</v>
          </cell>
          <cell r="E3264" t="str">
            <v>REACTIVOS POR INMUNOHISTOQUIMICA ANTICUERPO MONOCLONAL ANTI-MUC6 PARAINMUNOHISTOQUIMICA EN TEJIDO FIJADO EN FORMOL O TEJIDO EN FRESCO. PARA TECNICAMANUAL O AUTOMATIZADA. EL USUARIO DETERMINARA ESTAS CARACTERISTICAS DE ACUERDO ASUS NECESIDADES. LA CLONA LA DETERMINARA EL USUARIO. PRUEBA. RTC.</v>
          </cell>
          <cell r="U3264">
            <v>56</v>
          </cell>
          <cell r="V3264">
            <v>139</v>
          </cell>
        </row>
        <row r="3265">
          <cell r="A3265">
            <v>3262</v>
          </cell>
          <cell r="B3265" t="str">
            <v>080.070.3316</v>
          </cell>
          <cell r="E3265" t="str">
            <v>REACTIVOS POR INMUNOHISTOQUIMICA. ANTICUERPO MONOCLONAL ANTI-PROTEINA ALK-1 PARAINMUNOHISTOQUIMICA EN TEJIDO FIJADO EN FORMOL O TEJIDO EN FRESCO. PARA TECNICAMANUAL O AUTOMATIZADA. EL USUARIO DETERMINARA ESTAS CARACTERISTICAS DE ACUERDO ASUS NECESIDADES. LA CLONA LA DETERMINARA EL USUARIO. PRUEBA. RTC.</v>
          </cell>
          <cell r="U3265">
            <v>66</v>
          </cell>
          <cell r="V3265">
            <v>163</v>
          </cell>
        </row>
        <row r="3266">
          <cell r="A3266">
            <v>3263</v>
          </cell>
          <cell r="B3266" t="str">
            <v>080.070.3324</v>
          </cell>
          <cell r="E3266" t="str">
            <v>REACTIVOS POR INMUNOHISTOQUIMICA SISTEMA DE DETECCION DAB DIAMINOBENCIDINA PARAINMUNOHISTOQUIMICA EN TEJIDO FIJADO EN FORMOL O TEJIDO EN FRESCO. PARA TECNICAMANUAL O AUTOMATIZADA. EL USUARIO DETERMINARA ESTAS CARACTERISTICAS DE ACUERDO ASUS NECESIDADES. LA CLONA LA DETERMINARA EL USUARIO. PRUEBA. RTC.</v>
          </cell>
          <cell r="U3266">
            <v>234</v>
          </cell>
          <cell r="V3266">
            <v>582</v>
          </cell>
        </row>
        <row r="3267">
          <cell r="A3267">
            <v>3264</v>
          </cell>
          <cell r="B3267" t="str">
            <v>080.070.3332</v>
          </cell>
          <cell r="E3267" t="str">
            <v>REACTIVOS POR INMUNOHISTOQUIMICA SISTEMA DE DETECCION DE ALTA SENSIBILIDAD CONPOLIMEROS CONJUGADOS PARA INMUNOHISTOQUIMICA EN TEJIDO FIJADO EN FORMOL O TEJIDOEN FRESCO. PARA TECNICA MANUAL O AUTOMATIZADA. EL USUARIO DETERMINARA ESTASCARACTERISTICAS DE ACUERDO A SUS NECESIDADES. LA CLONA LA DETERMINARA ELUSUARIO. PRUEBA. RTC.</v>
          </cell>
          <cell r="U3267">
            <v>208</v>
          </cell>
          <cell r="V3267">
            <v>518</v>
          </cell>
        </row>
        <row r="3268">
          <cell r="A3268">
            <v>3265</v>
          </cell>
          <cell r="B3268" t="str">
            <v>080.070.3340</v>
          </cell>
          <cell r="E3268" t="str">
            <v>REACTIVOS POR INMUNOHISTOQUIMICA. ANTICUERPO MONOCLONAL ANTI CD 3. PARAINMUNOHISTOQUIMICA EN TEJIDO FIJADO EN FORMOL O TEJIDO EN FRESCO. PARA TECNICAMANUAL O AUTOMATIZADA. EL USUARIO DETERMINARA ESTAS CARACTERISTICAS DE ACUERDO ASUS NECESIDADES. LA CLONA LA DETERMINARA EL USUARIO. PRUEBA. RTC.</v>
          </cell>
          <cell r="U3268">
            <v>120</v>
          </cell>
          <cell r="V3268">
            <v>297</v>
          </cell>
        </row>
        <row r="3269">
          <cell r="A3269">
            <v>3266</v>
          </cell>
          <cell r="B3269" t="str">
            <v>080.070.3357</v>
          </cell>
          <cell r="E3269" t="str">
            <v>REACTIVOS POR INMUNOHISTOQUIMICA ANTICUERPO MONOCLONAL ANTI-CD45 ANTIGENOLEUCOCITARIO COMUN (LCA). PARA INMUNOHISTOQUIMICA EN TEJIDO FIJADO EN FORMOL OTEJIDO EN FRESCO. PARA TECNICA MANUAL O AUTOMATIZADA. EL USUARIO DETERMINARAESTAS CARACTERISTICAS DE ACUERDO A SUS NECESIDADES. LA CLONA LA DETERMINARA ELUSUARIO. PRUEBA. RTC.</v>
          </cell>
          <cell r="U3269">
            <v>58</v>
          </cell>
          <cell r="V3269">
            <v>143</v>
          </cell>
        </row>
        <row r="3270">
          <cell r="A3270">
            <v>3267</v>
          </cell>
          <cell r="B3270" t="str">
            <v>080.070.3365</v>
          </cell>
          <cell r="E3270" t="str">
            <v>REACTIVOS POR INMUNOHISTOQUIMICA. ANTICUERPO MONOCLONAL ANTI CD 5. PARAINMUNOHISTOQUIMICA EN TEJIDO FIJADO EN FORMOL O TEJIDO EN FRESCO. PARA TECNICAMANUAL O AUTOMATIZADA. EL USUARIO DETERMINARA ESTAS CARACTERISTICAS DE ACUERDO ASUS NECESIDADES. LA CLONA LA DETERMINARA EL USUARIO. PRUEBA. RTC.</v>
          </cell>
          <cell r="U3270">
            <v>96</v>
          </cell>
          <cell r="V3270">
            <v>239</v>
          </cell>
        </row>
        <row r="3271">
          <cell r="A3271">
            <v>3268</v>
          </cell>
          <cell r="B3271" t="str">
            <v>080.070.3373</v>
          </cell>
          <cell r="E3271" t="str">
            <v>REACTIVOS POR INMUNOHISTOQUIMICA ANTICUERPO MONOCLONAL ANTICITOQUERATINA DE ALTOPESO MOLECULAR.PARA INMUNOHISTOQUIMICA EN TEJIDO FIJADO EN FORMOL O TEJIDO ENFRESCO. PARA TECNICA MANUAL O AUTOMATIZADA. EL USUARIO DETERMINARA ESTASCARACTERISTICAS DE ACUERDO A SUS NECESIDADES. EL USUARIO DETERMINARA EL TIPO DECITOQUERATINA QUE REQUIERE. LA CLONA LA DETERMINARA EL USUARIO. PRUEBA. RTC</v>
          </cell>
          <cell r="U3271">
            <v>68</v>
          </cell>
          <cell r="V3271">
            <v>169</v>
          </cell>
        </row>
        <row r="3272">
          <cell r="A3272">
            <v>3269</v>
          </cell>
          <cell r="B3272" t="str">
            <v>080.070.3381</v>
          </cell>
          <cell r="E3272" t="str">
            <v>REACTIVOS POR INMUNOHISTOQUIMICA. ANTICUERPO MONOCLONAL ANTI FOSFATASA ACIDOPROSTATICA. PARA INMUNOHISTOQUIMICA EN TEJIDO FIJADO EN FORMOL O TEJIDO ENFRESCO. PARA TECNICA MANUAL O AUTOMATIZADA. EL USUARIO DETERMINARA ESTASCARACTERISTICAS DE ACUERDO A SUS NECESIDADES. LA CLONA LA DETERMINARA ELUSUARIO. PRUEBA. RTC.</v>
          </cell>
          <cell r="U3272">
            <v>67</v>
          </cell>
          <cell r="V3272">
            <v>165</v>
          </cell>
        </row>
        <row r="3273">
          <cell r="A3273">
            <v>3270</v>
          </cell>
          <cell r="B3273" t="str">
            <v>080.070.3399</v>
          </cell>
          <cell r="E3273" t="str">
            <v>REACTIVOS POR INMUNOHISTOQUIMICA. ANTICUERPO POLICLONAL ANTI MIELOPEROXIDASA.PARA INMUNOHISTOQUIMICA EN TEJIDO FIJADO EN FORMOL O TEJIDO EN FRESCO. PARATECNICA MANUAL O AUTOMATIZADA. EL USUARIO DETERMINARA ESTAS CARACTERISTICAS DEACUERDO A SUS NECESIDADES. LA CLONA LA DETERMINARA EL USUARIO. PRUEBA. RTC.</v>
          </cell>
          <cell r="U3273">
            <v>66</v>
          </cell>
          <cell r="V3273">
            <v>163</v>
          </cell>
        </row>
        <row r="3274">
          <cell r="A3274">
            <v>3271</v>
          </cell>
          <cell r="B3274" t="str">
            <v>080.070.3407</v>
          </cell>
          <cell r="E3274" t="str">
            <v>REACTIVOS POR INMUNOHISTOQUIMICA. ANTICUERPO MONOCLONAL ANTI ANTIGENO DEMEMBRANA EPITELIAL (EMA). PARA INMUNOHISTOQUIMICA EN TEJIDO FIJADO EN FORMOL OTEJIDO EN FRESCO. PARA TECNICA MANUAL O AUTOMATIZADA. EL USUARIO DETERMINARAESTAS CARACTERISTICAS DE ACUERDO A SUS NECESIDADES. LA CLONA LA DETERMINARA ELUSUARIO. PRUEBA. RTC.</v>
          </cell>
          <cell r="U3274">
            <v>89</v>
          </cell>
          <cell r="V3274">
            <v>221</v>
          </cell>
        </row>
        <row r="3275">
          <cell r="A3275">
            <v>3272</v>
          </cell>
          <cell r="B3275" t="str">
            <v>080.070.3415</v>
          </cell>
          <cell r="E3275" t="str">
            <v>REACTIVOS POR INMUNOHISTOQUIMICA. ANTICUERPO MONOCLONAL ANTI ANTIGENO KI 67.PARA INMUNOHISTOQUIMICA EN TEJIDO FIJADO EN FORMOL O TEJIDO EN FRESCO. PARATECNICA MANUAL O AUTOMATIZADA. EL USUARIO DETERMINARA ESTAS CARACTERISTICAS DEACUERDO A SUS NECESIDADES. LA CLONA LA DETERMINARA EL USUARIO. PRUEBA. RTC.</v>
          </cell>
          <cell r="U3275">
            <v>97</v>
          </cell>
          <cell r="V3275">
            <v>239</v>
          </cell>
        </row>
        <row r="3276">
          <cell r="A3276">
            <v>3273</v>
          </cell>
          <cell r="B3276" t="str">
            <v>080.070.3423</v>
          </cell>
          <cell r="E3276" t="str">
            <v>REACTIVOS POR INMUNOHISTOQUIMICA ANTICUERPO MONOCLONAL ANTI CD 10. PARAINMUNOHISTOQUIMICA EN TEJIDO FIJADO EN FORMOL O TEJIDO EN FRESCO. PARA TECNICAMANUAL O AUTOMATIZADA. EL USUARIO DETERMINARA ESTAS CARACTERISTICAS DE ACUERDO ASUS NECESIDADES. LA CLONA LA DETERMINARA EL USUARIO. PRUEBA. RTC.</v>
          </cell>
          <cell r="U3276">
            <v>66</v>
          </cell>
          <cell r="V3276">
            <v>163</v>
          </cell>
        </row>
        <row r="3277">
          <cell r="A3277">
            <v>3274</v>
          </cell>
          <cell r="B3277" t="str">
            <v>080.070.3431</v>
          </cell>
          <cell r="E3277" t="str">
            <v>REACTIVOS POR INMUNOHISTOQUIMICA ANTICUERPO MONOCLONAL ANTI ANTIGENOCARCINOEMBRIONARIO (CEA). PARA INMUNOHISTOQUIMICA EN TEJIDO FIJADO EN FORMOL OTEJIDO FRESCO. PARA TECNICA MANUAL O AUTOMATIZADA. EL USUARIO DETERMINARA ESTASCARACTERISTICAS DE ACUERDO A SUS NECESIDADES. LA CLONA LA DETERMINARA ELUSUARIO. PRUEBA RTC.</v>
          </cell>
          <cell r="U3277">
            <v>56</v>
          </cell>
          <cell r="V3277">
            <v>139</v>
          </cell>
        </row>
        <row r="3278">
          <cell r="A3278">
            <v>3275</v>
          </cell>
          <cell r="B3278" t="str">
            <v>080.074.0060</v>
          </cell>
          <cell r="E3278" t="str">
            <v>SUSTANCIAS BIOLOGICAS. VDRL. ANTIGENO DE CARDIOLIPINA PARA EL DIAGNOSTICOSEROLOGICO DE LA SIFILIS. SOLUCION AMORTIGUADORA EN: FRASCO CON 5 ML. RTC.</v>
          </cell>
          <cell r="U3278">
            <v>66</v>
          </cell>
          <cell r="V3278">
            <v>163</v>
          </cell>
        </row>
        <row r="3279">
          <cell r="A3279">
            <v>3276</v>
          </cell>
          <cell r="B3279" t="str">
            <v>080.074.0078</v>
          </cell>
          <cell r="E3279" t="str">
            <v>SUSTANCIAS BIOLOGICAS. TUBERCULINA PPD. DERIVADO PROTEICO PURIFICADO RT 23 PARAINTRADERMORREACCION. CONTIENE DOS UNIDADES DE TUBERCULINA EN CADA DECIMA DEMILILITRO RTC. FRASCO AMPULA DE 1 ML CON 10 DOSIS.</v>
          </cell>
          <cell r="U3279">
            <v>620</v>
          </cell>
          <cell r="V3279">
            <v>1550</v>
          </cell>
        </row>
        <row r="3280">
          <cell r="A3280">
            <v>3277</v>
          </cell>
          <cell r="B3280" t="str">
            <v>080.074.0367</v>
          </cell>
          <cell r="E3280" t="str">
            <v>SUSTANCIAS BIOLOGICAS. FEBRILES. ANTIGENOS PARA AGLUTINACION MACROSCOPICA ENPLACA O TUBO PARA EL DIAGNOSTICO SEROLOGICO EN PROCESOS INFECCIOSOS PRODUCIDOSPOR MICROORGANISMOS DE LOS GENEROS: SALMONELLA Y BRUCELLA. JUEGO COMPUESTO DE:TIFICO O. FRASCO GOTERO CON 5 ML. RTC. NOTA: (SE PUEDE SOLICITAR COMPLETO ELJUEGO CON TODOS LOS ANTIGENOS O CADA UNO POR SEPARADO).</v>
          </cell>
          <cell r="U3280">
            <v>7185</v>
          </cell>
          <cell r="V3280">
            <v>17959</v>
          </cell>
        </row>
        <row r="3281">
          <cell r="A3281">
            <v>3278</v>
          </cell>
          <cell r="B3281" t="str">
            <v>080.074.0375</v>
          </cell>
          <cell r="E3281" t="str">
            <v>SUSTANCIAS BIOLOGICAS. FEBRILES. ANTIGENOS PARA AGLUTINACION MACROSCOPICA ENPLACA O TUBO PARA EL DIAGNOSTICO SEROLOGICO EN PROCESOS INFECCIOSOS PRODUCIDOSPOR MICROORGANISMOS DE LOS GENEROS: SALMONELLA Y BRUCELLA. JUEGO COMPUESTO DE:TIFICO H. FRASCO GOTERO CON 5 ML. RTC. NOTA: (SE PUEDE SOLICITAR COMPLETO ELJUEGO CON TODOS LOS ANTIGENOS O CADA UNO POR SEPARADO).</v>
          </cell>
          <cell r="U3281">
            <v>5979</v>
          </cell>
          <cell r="V3281">
            <v>14946</v>
          </cell>
        </row>
        <row r="3282">
          <cell r="A3282">
            <v>3279</v>
          </cell>
          <cell r="B3282" t="str">
            <v>080.074.0383</v>
          </cell>
          <cell r="E3282" t="str">
            <v>SUSTANCIAS BIOLOGICAS. FEBRILES. ANTIGENOS PARA AGLUTINACION MACROSCOPICA ENPLACA O TUBO PARA EL DIAGNOSTICO SEROLOGICO EN PROCESOS INFECCIOSOS PRODUCIDOSPOR MICROORGANISMOS DE LOS GENEROS: SALMONELLA Y BRUCELLA. JUEGO COMPUESTO DE:BRUCELLA ABORTUS. FRASCO GOTERO CON 5 ML. RTC. NOTA: (SE PUEDE SOLICITARCOMPLETO EL JUEGO CON TODOS LOS ANTIGENOS O CADA UNO POR SEPARADO).</v>
          </cell>
          <cell r="U3282">
            <v>5394</v>
          </cell>
          <cell r="V3282">
            <v>13483</v>
          </cell>
        </row>
        <row r="3283">
          <cell r="A3283">
            <v>3280</v>
          </cell>
          <cell r="B3283" t="str">
            <v>080.074.0656</v>
          </cell>
          <cell r="E3283" t="str">
            <v>SUSTANCIAS BIOLOGICAS. ALFA 1 ANTIQUIMOTRIPSINA. EQUIPO PARA 20 PRUEBAS. RTC.</v>
          </cell>
          <cell r="U3283">
            <v>10</v>
          </cell>
          <cell r="V3283">
            <v>24</v>
          </cell>
        </row>
        <row r="3284">
          <cell r="A3284">
            <v>3281</v>
          </cell>
          <cell r="B3284" t="str">
            <v>080.074.1019</v>
          </cell>
          <cell r="E3284" t="str">
            <v>SUSTANCIAS BIOLOGICAS. VDRL. ANTIGENO DE CARDIOLIPINA PARA INVESTIGAR REAGINASDE LA SIFILIS EN SUERO SIN INACTIVAR EN PLASMA Y LIQUIDO CEFALORRAQUIDEO (NOREQUIERE RECONSTITUCION). PARA 300 PRUEBAS. CAJA CON 10 AMPOLLETAS DE 0.5 ML.C/U. RTC.</v>
          </cell>
          <cell r="U3284">
            <v>8168</v>
          </cell>
          <cell r="V3284">
            <v>20419</v>
          </cell>
        </row>
        <row r="3285">
          <cell r="A3285">
            <v>3282</v>
          </cell>
          <cell r="B3285" t="str">
            <v>080.074.1050</v>
          </cell>
          <cell r="E3285" t="str">
            <v>SUSTANCIAS BIOLOGICAS. ANTISUERO CONTRA DESMINA. FRASCO CON 1 ML. RTC.</v>
          </cell>
          <cell r="U3285">
            <v>19</v>
          </cell>
          <cell r="V3285">
            <v>45</v>
          </cell>
        </row>
        <row r="3286">
          <cell r="A3286">
            <v>3283</v>
          </cell>
          <cell r="B3286" t="str">
            <v>080.074.1068</v>
          </cell>
          <cell r="E3286" t="str">
            <v>SUSTANCIAS BIOLOGICAS. ANTIGENO DE MEMBRANA EPITELIAL. PARA 20 PRUEBAS. RTC.</v>
          </cell>
          <cell r="U3286">
            <v>35</v>
          </cell>
          <cell r="V3286">
            <v>85</v>
          </cell>
        </row>
        <row r="3287">
          <cell r="A3287">
            <v>3284</v>
          </cell>
          <cell r="B3287" t="str">
            <v>080.074.1076</v>
          </cell>
          <cell r="E3287" t="str">
            <v>SUSTANCIAS BIOLOGICAS. ANTIGENO LEUCOCITARIO COMUN (CD 45). PARA MINIMO 20PRUEBAS. RTC.</v>
          </cell>
          <cell r="U3287">
            <v>36</v>
          </cell>
          <cell r="V3287">
            <v>87</v>
          </cell>
        </row>
        <row r="3288">
          <cell r="A3288">
            <v>3285</v>
          </cell>
          <cell r="B3288" t="str">
            <v>080.074.1084</v>
          </cell>
          <cell r="E3288" t="str">
            <v>SUSTANCIAS BIOLOGICAS. ANTIGENO RELACIONADO AL FACTOR VIII. PARA MINIMO 20PRUEBAS. RTC.</v>
          </cell>
          <cell r="U3288">
            <v>35</v>
          </cell>
          <cell r="V3288">
            <v>85</v>
          </cell>
        </row>
        <row r="3289">
          <cell r="A3289">
            <v>3286</v>
          </cell>
          <cell r="B3289" t="str">
            <v>080.074.1092</v>
          </cell>
          <cell r="E3289" t="str">
            <v>SUSTANCIAS BIOLOGICAS. HERPES SIMPLE TIPO 1. PARA MINIMO 20 PRUEBAS. RTC.</v>
          </cell>
          <cell r="U3289">
            <v>25</v>
          </cell>
          <cell r="V3289">
            <v>61</v>
          </cell>
        </row>
        <row r="3290">
          <cell r="A3290">
            <v>3287</v>
          </cell>
          <cell r="B3290" t="str">
            <v>080.074.1100</v>
          </cell>
          <cell r="E3290" t="str">
            <v>SUSTANCIAS BIOLOGICAS VDRL. ANTIGENO DE CARDIOLIPINA PARA EL DIAGNOSTICOSEROLOGICO DE LA SIFILIS. SOLUCION AMORTIGUADORA EN: FRASCO CON 50-60 ML. RTC.</v>
          </cell>
          <cell r="U3290">
            <v>126</v>
          </cell>
          <cell r="V3290">
            <v>313</v>
          </cell>
        </row>
        <row r="3291">
          <cell r="A3291">
            <v>3288</v>
          </cell>
          <cell r="B3291" t="str">
            <v>080.074.1118</v>
          </cell>
          <cell r="E3291" t="str">
            <v>SUSTANCIAS BIOLOGICAS. HERPES SIMPLE TIPO 2. PARA MINIMO 20 PRUEBAS. RTC.</v>
          </cell>
          <cell r="U3291">
            <v>16</v>
          </cell>
          <cell r="V3291">
            <v>40</v>
          </cell>
        </row>
        <row r="3292">
          <cell r="A3292">
            <v>3289</v>
          </cell>
          <cell r="B3292" t="str">
            <v>080.074.1134</v>
          </cell>
          <cell r="E3292" t="str">
            <v>REACTIVOS QUIMICOS. COEFICIENTE DE SEDIMENTACION. (S-100) PARA MINIMO 20PRUEBAS. RTC.</v>
          </cell>
          <cell r="U3292">
            <v>75</v>
          </cell>
          <cell r="V3292">
            <v>185</v>
          </cell>
        </row>
        <row r="3293">
          <cell r="A3293">
            <v>3290</v>
          </cell>
          <cell r="B3293" t="str">
            <v>080.074.1159</v>
          </cell>
          <cell r="E3293" t="str">
            <v>SUSTANCIAS BIOLOGICAS. ANTIGENO KI 1 (CD 30). (AC PRIMARIO). FRASCO CON 1 ML.RTC.</v>
          </cell>
          <cell r="U3293">
            <v>36</v>
          </cell>
          <cell r="V3293">
            <v>87</v>
          </cell>
        </row>
        <row r="3294">
          <cell r="A3294">
            <v>3291</v>
          </cell>
          <cell r="B3294" t="str">
            <v>080.074.1167</v>
          </cell>
          <cell r="E3294" t="str">
            <v>SUSTANCIAS BIOLOGICAS. LISOZIMA. (AC. PRIMARIO). FRASCO CON 1 ML. RTC.</v>
          </cell>
          <cell r="U3294">
            <v>26</v>
          </cell>
          <cell r="V3294">
            <v>63</v>
          </cell>
        </row>
        <row r="3295">
          <cell r="A3295">
            <v>3292</v>
          </cell>
          <cell r="B3295" t="str">
            <v>080.074.1175</v>
          </cell>
          <cell r="E3295" t="str">
            <v>SUSTANCIAS BIOLOGICAS. ANTIGENO MIELOIDE/HISTIOCITICO. (CD 15). (AC PRIMARIO).FRASCO CON 1 ML. RTC.</v>
          </cell>
          <cell r="U3295">
            <v>55</v>
          </cell>
          <cell r="V3295">
            <v>135</v>
          </cell>
        </row>
        <row r="3296">
          <cell r="A3296">
            <v>3293</v>
          </cell>
          <cell r="B3296" t="str">
            <v>080.074.1183</v>
          </cell>
          <cell r="E3296" t="str">
            <v>SUSTANCIAS BIOLOGICAS. ANTIGENO KI 67. (AC PRIMARIO). FRASCO CON 1 ML. RTC.</v>
          </cell>
          <cell r="U3296">
            <v>93</v>
          </cell>
          <cell r="V3296">
            <v>231</v>
          </cell>
        </row>
        <row r="3297">
          <cell r="A3297">
            <v>3294</v>
          </cell>
          <cell r="B3297" t="str">
            <v>080.074.1191</v>
          </cell>
          <cell r="E3297" t="str">
            <v>SUSTANCIAS BIOLOGICAS. ANTIGENO ESPECIFICO DE PROSTATA. (AC PRIMARIO). FRASCOCON 1 ML. RTC.</v>
          </cell>
          <cell r="U3297">
            <v>46</v>
          </cell>
          <cell r="V3297">
            <v>113</v>
          </cell>
        </row>
        <row r="3298">
          <cell r="A3298">
            <v>3295</v>
          </cell>
          <cell r="B3298" t="str">
            <v>080.074.1274</v>
          </cell>
          <cell r="E3298" t="str">
            <v>SUSTANCIAS BIOLOGICAS. ANTIESTREPTOLISINAS. ESTREPTOLISINA "O" ESTANDARIZADA,REDUCIDA Y LIOFILIZADA. CAJA CON 6 FRASCOS PARA 10 ML. RTC.</v>
          </cell>
          <cell r="U3298">
            <v>3234</v>
          </cell>
          <cell r="V3298">
            <v>8082</v>
          </cell>
        </row>
        <row r="3299">
          <cell r="A3299">
            <v>3296</v>
          </cell>
          <cell r="B3299" t="str">
            <v>080.074.1290</v>
          </cell>
          <cell r="E3299" t="str">
            <v>SUSTANCIAS BIOLOGICAS. ANTIGENO CONTRA PAPILOMA VIRUS (AC PRIMARIO). FRASCO CON1 ML. RTC.</v>
          </cell>
          <cell r="U3299">
            <v>36</v>
          </cell>
          <cell r="V3299">
            <v>87</v>
          </cell>
        </row>
        <row r="3300">
          <cell r="A3300">
            <v>3297</v>
          </cell>
          <cell r="B3300" t="str">
            <v>080.074.1308</v>
          </cell>
          <cell r="E3300" t="str">
            <v>SUSTANCIAS BIOLOGICAS, ANTIGENOS, SUEROS. FRACCION 1 EXTRACTO DE TIMO DE CONEJO.FRASCO CON 10 G. RTC.</v>
          </cell>
          <cell r="U3300">
            <v>20</v>
          </cell>
          <cell r="V3300">
            <v>48</v>
          </cell>
        </row>
        <row r="3301">
          <cell r="A3301">
            <v>3298</v>
          </cell>
          <cell r="B3301" t="str">
            <v>080.074.1456</v>
          </cell>
          <cell r="E3301" t="str">
            <v>SUSTANCIAS BIOLOGICAS. ANTIGENO TEÑIDO CON ROSA DE BENGALA AGLUTINACION EN PLACAPARA DIAGNOSTICO DE BRUCELOSIS. FRASCO CON 5 ML. RTC.</v>
          </cell>
          <cell r="U3301">
            <v>5111</v>
          </cell>
          <cell r="V3301">
            <v>12776</v>
          </cell>
        </row>
        <row r="3302">
          <cell r="A3302">
            <v>3299</v>
          </cell>
          <cell r="B3302" t="str">
            <v>080.074.1464</v>
          </cell>
          <cell r="E3302" t="str">
            <v>SUSTANCIAS BIOLOGICAS. ANTIGENO CON P - 2 MERCAPTOETANOL, DE TUBO, PARA ELDIAGNOSTICO DE BRUCELOSIS 1:10. FRASCO CON 5 ML. RTC.</v>
          </cell>
          <cell r="U3302">
            <v>68</v>
          </cell>
          <cell r="V3302">
            <v>169</v>
          </cell>
        </row>
        <row r="3303">
          <cell r="A3303">
            <v>3300</v>
          </cell>
          <cell r="B3303" t="str">
            <v>080.074.1977</v>
          </cell>
          <cell r="E3303" t="str">
            <v>SUSTANCIAS BIOLÓGICAS TUBERCULINA PPD. DERIVADO PROTEICO PURIFICADO RT 23 PARA INTRADERMOREACCIÓN. CONTIENE CINCO UNIDADES DE TUBERCULINA EN CADA DÉCIMA DE MILILITRO RTC. FRASCO ÁMPULA DE 1 ML CON 10 DOSIS.</v>
          </cell>
          <cell r="U3303">
            <v>67582</v>
          </cell>
          <cell r="V3303">
            <v>168952</v>
          </cell>
        </row>
        <row r="3304">
          <cell r="A3304">
            <v>3301</v>
          </cell>
          <cell r="B3304" t="str">
            <v>080.081.0061</v>
          </cell>
          <cell r="E3304" t="str">
            <v>SOLUCION AMORTIGUADORA. SOLUCION AMORTIGUADORA DE FOSFATOS, CONCENTRADA PH 7.2FRASCO CON 50 ML PARA DILUIR A 1000 ML. RTC.</v>
          </cell>
          <cell r="U3304">
            <v>195</v>
          </cell>
          <cell r="V3304">
            <v>485</v>
          </cell>
        </row>
        <row r="3305">
          <cell r="A3305">
            <v>3302</v>
          </cell>
          <cell r="B3305" t="str">
            <v>080.081.0186</v>
          </cell>
          <cell r="E3305" t="str">
            <v>SUEROS PARA TIPIFICAR LA SANGRE, MEDIOS PROTEICOS, ENZIMAS Y ANTIGENOS. ANTIDIEGO A. FRASCO CON 2 ML. RTC.</v>
          </cell>
          <cell r="U3305">
            <v>83</v>
          </cell>
          <cell r="V3305">
            <v>206</v>
          </cell>
        </row>
        <row r="3306">
          <cell r="A3306">
            <v>3303</v>
          </cell>
          <cell r="B3306" t="str">
            <v>080.081.0194</v>
          </cell>
          <cell r="E3306" t="str">
            <v>SUEROS PARA TIPIFICAR LA SANGRE MEDIOS PROTEICOS ENZIMAS Y ANTIGENOS ANTI XG.FRASCO CON 2 ML. RTC.</v>
          </cell>
          <cell r="U3306">
            <v>10</v>
          </cell>
          <cell r="V3306">
            <v>24</v>
          </cell>
        </row>
        <row r="3307">
          <cell r="A3307">
            <v>3304</v>
          </cell>
          <cell r="B3307" t="str">
            <v>080.081.0202</v>
          </cell>
          <cell r="E3307" t="str">
            <v>SUSTANCIAS BIOLOGICAS. ANTI-RH´(ANTI - C). ANTICUERPOS PARA TIPIFICAR SANGRE.FRASCO CON 2 Y 5 ML. RTC.</v>
          </cell>
          <cell r="U3307">
            <v>123</v>
          </cell>
          <cell r="V3307">
            <v>305</v>
          </cell>
        </row>
        <row r="3308">
          <cell r="A3308">
            <v>3305</v>
          </cell>
          <cell r="B3308" t="str">
            <v>080.081.0228</v>
          </cell>
          <cell r="E3308" t="str">
            <v>SUEROS PARA TIPIFICAR LA SANGRE, MEDIOS PROTEICOS, ENZIMAS Y ANTIGENOS. ANTI P.FRASCO DE 2 Y 5 ML. RTC.</v>
          </cell>
          <cell r="U3308">
            <v>34</v>
          </cell>
          <cell r="V3308">
            <v>83</v>
          </cell>
        </row>
        <row r="3309">
          <cell r="A3309">
            <v>3306</v>
          </cell>
          <cell r="B3309" t="str">
            <v>080.081.0236</v>
          </cell>
          <cell r="E3309" t="str">
            <v>Sustancias Biológicas Lectina anti A1 (fitoaglutinina A1). Para determinación de grupo A1. Frasco de 2 ml. RTC.</v>
          </cell>
          <cell r="U3309">
            <v>1774</v>
          </cell>
          <cell r="V3309">
            <v>4434</v>
          </cell>
        </row>
        <row r="3310">
          <cell r="A3310">
            <v>3307</v>
          </cell>
          <cell r="B3310" t="str">
            <v>080.081.0244</v>
          </cell>
          <cell r="E3310" t="str">
            <v>Sustancias biologicas. Lectina anti H (fitoaglutinina). Frasco con 2 ml. RTC.</v>
          </cell>
          <cell r="U3310">
            <v>666</v>
          </cell>
          <cell r="V3310">
            <v>1664</v>
          </cell>
        </row>
        <row r="3311">
          <cell r="A3311">
            <v>3308</v>
          </cell>
          <cell r="B3311" t="str">
            <v>080.081.0301</v>
          </cell>
          <cell r="E3311" t="str">
            <v>SUEROS PARA TIPIFICAR LA SANGRE, MEDIOS PROTEICOS, ENZIMAS Y ANTIGENOS.ANTI-LUTHERAN A. FRASCO CON 2 ML. RTC.</v>
          </cell>
          <cell r="U3311">
            <v>26</v>
          </cell>
          <cell r="V3311">
            <v>64</v>
          </cell>
        </row>
        <row r="3312">
          <cell r="A3312">
            <v>3309</v>
          </cell>
          <cell r="B3312" t="str">
            <v>080.081.0368</v>
          </cell>
          <cell r="E3312" t="str">
            <v>Sustancias Biológicas Antisueros. Antiglobulina humana. Para la prueba de Coombs. Frasco con 10 ml. RTC.</v>
          </cell>
          <cell r="U3312">
            <v>10659</v>
          </cell>
          <cell r="V3312">
            <v>26644</v>
          </cell>
        </row>
        <row r="3313">
          <cell r="A3313">
            <v>3310</v>
          </cell>
          <cell r="B3313" t="str">
            <v>080.081.0467</v>
          </cell>
          <cell r="E3313" t="str">
            <v>SUSTANCIAS BIOLOGICAS. ANTI-RH (ANTI - E) ANTICUERPOS PARA TIPIFICAR SANGRE.FRASCO DE 2 Y 5 ML. RTC.</v>
          </cell>
          <cell r="U3313">
            <v>102</v>
          </cell>
          <cell r="V3313">
            <v>253</v>
          </cell>
        </row>
        <row r="3314">
          <cell r="A3314">
            <v>3311</v>
          </cell>
          <cell r="B3314" t="str">
            <v>080.081.0475</v>
          </cell>
          <cell r="E3314" t="str">
            <v>SUEROS PARA TIPIFICAR LA SANGRE, MEDIOS PROTEICOS, ENZIMAS Y ANTIGENOS. ANTI M.FRASCO DE 2 Y 5 ML. RTC.</v>
          </cell>
          <cell r="U3314">
            <v>70</v>
          </cell>
          <cell r="V3314">
            <v>172</v>
          </cell>
        </row>
        <row r="3315">
          <cell r="A3315">
            <v>3312</v>
          </cell>
          <cell r="B3315" t="str">
            <v>080.081.0483</v>
          </cell>
          <cell r="E3315" t="str">
            <v>SUEROS PARA TIPIFICAR LA SANGRE, MEDIOS PROTEICOS, ENZIMAS Y ANTIGENOS. ANTI N.FRASCO DE 2 Y 5 ML. RTC.</v>
          </cell>
          <cell r="U3315">
            <v>34</v>
          </cell>
          <cell r="V3315">
            <v>83</v>
          </cell>
        </row>
        <row r="3316">
          <cell r="A3316">
            <v>3313</v>
          </cell>
          <cell r="B3316" t="str">
            <v>080.081.0491</v>
          </cell>
          <cell r="E3316" t="str">
            <v>SUEROS PARA TIPIFICAR LA SANGRE, MEDIOS PROTEICOS, ENZIMAS Y ANTIGENOS. ANTI S.FRASCO DE 2 Y 5 ML. RTC.</v>
          </cell>
          <cell r="U3316">
            <v>48</v>
          </cell>
          <cell r="V3316">
            <v>116</v>
          </cell>
        </row>
        <row r="3317">
          <cell r="A3317">
            <v>3314</v>
          </cell>
          <cell r="B3317" t="str">
            <v>080.081.0509</v>
          </cell>
          <cell r="E3317" t="str">
            <v>SUEROS PARA TIPIFICAR LA SANGRE, MEDIOS PROTEICOS, ENZIMAS Y ANTIGENOS.ANTISUEROS PARA TIPIFICAR LA SANGRE. ANTI S. FRASCOS DE 2 Y 5 ML. RTC.</v>
          </cell>
          <cell r="U3317">
            <v>34</v>
          </cell>
          <cell r="V3317">
            <v>83</v>
          </cell>
        </row>
        <row r="3318">
          <cell r="A3318">
            <v>3315</v>
          </cell>
          <cell r="B3318" t="str">
            <v>080.081.0517</v>
          </cell>
          <cell r="E3318" t="str">
            <v>SUEROS PARA TIPIFICAR LA SANGRE, MEDIOS PROTEICOS, ENZIMAS Y ANTIGENOS. ANTILEWIS-a. FRASCO DE 2 Y 5 ML. RTC.</v>
          </cell>
          <cell r="U3318">
            <v>70</v>
          </cell>
          <cell r="V3318">
            <v>172</v>
          </cell>
        </row>
        <row r="3319">
          <cell r="A3319">
            <v>3316</v>
          </cell>
          <cell r="B3319" t="str">
            <v>080.081.0525</v>
          </cell>
          <cell r="E3319" t="str">
            <v>SUEROS PARA TIPIFICAR LA SANGRE, MEDIOS PROTEICOS, ENZIMAS Y ANTIGENOS. ANTIDUFFY-a. FRASCO DE 2 Y 5 ML. RTC.</v>
          </cell>
          <cell r="U3319">
            <v>34</v>
          </cell>
          <cell r="V3319">
            <v>83</v>
          </cell>
        </row>
        <row r="3320">
          <cell r="A3320">
            <v>3317</v>
          </cell>
          <cell r="B3320" t="str">
            <v>080.081.0533</v>
          </cell>
          <cell r="E3320" t="str">
            <v>SUEROS PARA TIPIFICAR LA SANGRE, MEDIOS PROTEICOS, ENZIMAS Y ANTIGENOS. ANTIKELL. FRASCO DE 2 Y 5 ML. RTC.</v>
          </cell>
          <cell r="U3320">
            <v>27</v>
          </cell>
          <cell r="V3320">
            <v>66</v>
          </cell>
        </row>
        <row r="3321">
          <cell r="A3321">
            <v>3318</v>
          </cell>
          <cell r="B3321" t="str">
            <v>080.081.0574</v>
          </cell>
          <cell r="E3321" t="str">
            <v>SUEROS PARA TIPIFICAR LA SANGRE, MEDIOS PROTEICOS, ENZIMAS Y ANTIGENOS. ANTICELLANO. FRASCO DE 2 Y 5 ML. RTC.</v>
          </cell>
          <cell r="U3321">
            <v>52</v>
          </cell>
          <cell r="V3321">
            <v>126</v>
          </cell>
        </row>
        <row r="3322">
          <cell r="A3322">
            <v>3319</v>
          </cell>
          <cell r="B3322" t="str">
            <v>080.081.0897</v>
          </cell>
          <cell r="E3322" t="str">
            <v>SUSTANCIAS BIOLOGICAS. ANTISUERO SHIGELLA. POLIVALENTE A. FRASCO CON 1 ML. RTC.</v>
          </cell>
          <cell r="U3322">
            <v>270</v>
          </cell>
          <cell r="V3322">
            <v>674</v>
          </cell>
        </row>
        <row r="3323">
          <cell r="A3323">
            <v>3320</v>
          </cell>
          <cell r="B3323" t="str">
            <v>080.081.0913</v>
          </cell>
          <cell r="E3323" t="str">
            <v>SUSTANCIAS BIOLOGICAS. ANTISUERO SHIGELLA. POLIVALENTE B. FRASCO CON 1 ML. RTC.</v>
          </cell>
          <cell r="U3323">
            <v>243</v>
          </cell>
          <cell r="V3323">
            <v>606</v>
          </cell>
        </row>
        <row r="3324">
          <cell r="A3324">
            <v>3321</v>
          </cell>
          <cell r="B3324" t="str">
            <v>080.081.0921</v>
          </cell>
          <cell r="E3324" t="str">
            <v>SUSTANCIAS BIOLOGICAS. ANTISUERO SHIGELLA. POLIVALENTE C. FRASCO CON 1 ML. RTC.</v>
          </cell>
          <cell r="U3324">
            <v>256</v>
          </cell>
          <cell r="V3324">
            <v>638</v>
          </cell>
        </row>
        <row r="3325">
          <cell r="A3325">
            <v>3322</v>
          </cell>
          <cell r="B3325" t="str">
            <v>080.081.0954</v>
          </cell>
          <cell r="E3325" t="str">
            <v>SUSTANCIAS BIOLOGICAS. ANTISUERO SHIGELLA. POLIVALENTE D. FRASCO CON 1 ML. RTC.</v>
          </cell>
          <cell r="U3325">
            <v>195</v>
          </cell>
          <cell r="V3325">
            <v>485</v>
          </cell>
        </row>
        <row r="3326">
          <cell r="A3326">
            <v>3323</v>
          </cell>
          <cell r="B3326" t="str">
            <v>080.081.0962</v>
          </cell>
          <cell r="E3326" t="str">
            <v>SUSTANCIAS BIOLOGICAS. ANTISUERO SALMONELLA. POLIVALENTE A, HASTA I MAS VI.FRASCO CON 1 ML. RTC.</v>
          </cell>
          <cell r="U3326">
            <v>523</v>
          </cell>
          <cell r="V3326">
            <v>1306</v>
          </cell>
        </row>
        <row r="3327">
          <cell r="A3327">
            <v>3324</v>
          </cell>
          <cell r="B3327" t="str">
            <v>080.081.1226</v>
          </cell>
          <cell r="E3327" t="str">
            <v>SUSTANCIAS BIOLOGICAS. ANTISUERO SALMONELLA O GRUPO A. FACTOR 2. FRASCO CON 3ML. RTC.</v>
          </cell>
          <cell r="U3327">
            <v>244</v>
          </cell>
          <cell r="V3327">
            <v>606</v>
          </cell>
        </row>
        <row r="3328">
          <cell r="A3328">
            <v>3325</v>
          </cell>
          <cell r="B3328" t="str">
            <v>080.081.1234</v>
          </cell>
          <cell r="E3328" t="str">
            <v>SUSTANCIAS BIOLOGICAS. ANTISUERO SALMONELLA O GRUPO B. FACTOR 4-5. FRASCO CON 3ML. RTC.</v>
          </cell>
          <cell r="U3328">
            <v>95</v>
          </cell>
          <cell r="V3328">
            <v>237</v>
          </cell>
        </row>
        <row r="3329">
          <cell r="A3329">
            <v>3326</v>
          </cell>
          <cell r="B3329" t="str">
            <v>080.081.1242</v>
          </cell>
          <cell r="E3329" t="str">
            <v>SUSTANCIAS BIOLOGICAS. ANTISUERO SALMONELLA O GRUPO C1. FACTOR 7. FRASCO CON 3ML. RTC.</v>
          </cell>
          <cell r="U3329">
            <v>125</v>
          </cell>
          <cell r="V3329">
            <v>310</v>
          </cell>
        </row>
        <row r="3330">
          <cell r="A3330">
            <v>3327</v>
          </cell>
          <cell r="B3330" t="str">
            <v>080.081.1267</v>
          </cell>
          <cell r="E3330" t="str">
            <v>SUSTANCIAS BIOLOGICAS. ANTISUERO SALMONELLA O GRUPO D. FACTOR 9. FRASCO CON 3ML. RTC.</v>
          </cell>
          <cell r="U3330">
            <v>182</v>
          </cell>
          <cell r="V3330">
            <v>452</v>
          </cell>
        </row>
        <row r="3331">
          <cell r="A3331">
            <v>3328</v>
          </cell>
          <cell r="B3331" t="str">
            <v>080.081.1424</v>
          </cell>
          <cell r="E3331" t="str">
            <v>SUPLEMENTOS O ADITIVOS. SOLUCION DE AZUL DE EVANS AL 1% PARAINMUNOFLUORESCENCIA. FRASCO CON 5 ML. RTC.</v>
          </cell>
          <cell r="U3331">
            <v>143185</v>
          </cell>
          <cell r="V3331">
            <v>357961</v>
          </cell>
        </row>
        <row r="3332">
          <cell r="A3332">
            <v>3329</v>
          </cell>
          <cell r="B3332" t="str">
            <v>080.081.1473</v>
          </cell>
          <cell r="E3332" t="str">
            <v>SUSTANCIAS BIOLOGICAS, ANTIGENOS, SUEROS. ANTISUEROS PREPARADOS EN CONEJO YCONJUGADOS CON FLUORESCEINA: ANTISUERO ANTI IGA. CONJUGADO CON FLUORESCEINA.SUERO LIOFILIZADO DE CONEJO. FRASCO PARA 1 ML. RTC.</v>
          </cell>
          <cell r="U3332">
            <v>10</v>
          </cell>
          <cell r="V3332">
            <v>23</v>
          </cell>
        </row>
        <row r="3333">
          <cell r="A3333">
            <v>3330</v>
          </cell>
          <cell r="B3333" t="str">
            <v>080.081.1499</v>
          </cell>
          <cell r="E3333" t="str">
            <v>SUSTANCIAS BIOLOGICAS, ANTIGENOS, SUEROS. ANTISUEROS PREPARADOS EN CONEJO YCONJUGADOS CON FLUORESCEINA: ANTISUERO ANTI IGG. CONJUGADO CON FLUORESCEINA.SUERO LIOFILIZADO DE CONEJO. PARA MINIMO 125 PRUEBAS. FRASCO CON 1 ML. RTC.</v>
          </cell>
          <cell r="U3333">
            <v>10</v>
          </cell>
          <cell r="V3333">
            <v>23</v>
          </cell>
        </row>
        <row r="3334">
          <cell r="A3334">
            <v>3331</v>
          </cell>
          <cell r="B3334" t="str">
            <v>080.081.1507</v>
          </cell>
          <cell r="E3334" t="str">
            <v>SUSTANCIAS BIOLOGICAS, ANTIGENOS, SUEROS. ANTISUEROS PREPARADOS EN CONEJO YCONJUGADOS CON FLUORESCEINA: ANTISUERO ANTI IGM. CONJUGADO CON FLUORESCEINA.SUERO LIOFILIZADO DE CONEJO. PARA MINIMO 125 PRUEBAS. FRASCO CON 1 ML. RTC.</v>
          </cell>
          <cell r="U3334">
            <v>10</v>
          </cell>
          <cell r="V3334">
            <v>23</v>
          </cell>
        </row>
        <row r="3335">
          <cell r="A3335">
            <v>3332</v>
          </cell>
          <cell r="B3335" t="str">
            <v>080.081.2158</v>
          </cell>
          <cell r="E3335" t="str">
            <v>SUEROS PARA TIPIFICAR LA SANGRE, MEDIOS PROTEICOS, ENZIMAS Y ANTIGENOS. ANTIKIDD-a. FRASCO DE 2 Y 5 ML. RTC.</v>
          </cell>
          <cell r="U3335">
            <v>10</v>
          </cell>
          <cell r="V3335">
            <v>22</v>
          </cell>
        </row>
        <row r="3336">
          <cell r="A3336">
            <v>3333</v>
          </cell>
          <cell r="B3336" t="str">
            <v>080.081.2612</v>
          </cell>
          <cell r="E3336" t="str">
            <v>SUEROS PARA TIPIFICAR LA SANGRE, MEDIOS PROTEICOS, ENZIMAS Y ANTIGENOS. KPA(PENNY A). FRASCO CON 2 ML. RTC</v>
          </cell>
          <cell r="U3336">
            <v>10</v>
          </cell>
          <cell r="V3336">
            <v>22</v>
          </cell>
        </row>
        <row r="3337">
          <cell r="A3337">
            <v>3334</v>
          </cell>
          <cell r="B3337" t="str">
            <v>080.081.2679</v>
          </cell>
          <cell r="E3337" t="str">
            <v>SUEROS PARA TIPIFICAR LA SANGRE, MEDIOS PROTEICOS, ENZIMAS Y ANTIGENOS. ANTI C3HUMANO. FRASCO CON 2 ML. RTC</v>
          </cell>
          <cell r="U3337">
            <v>52</v>
          </cell>
          <cell r="V3337">
            <v>127</v>
          </cell>
        </row>
        <row r="3338">
          <cell r="A3338">
            <v>3335</v>
          </cell>
          <cell r="B3338" t="str">
            <v>080.081.3420</v>
          </cell>
          <cell r="E3338" t="str">
            <v>SUSTANCIAS BIOLOGICAS. ANTISUERO E COLI O. POLIVALENTE A. FRASCO PARA 30PRUEBAS. RTC.</v>
          </cell>
          <cell r="U3338">
            <v>170</v>
          </cell>
          <cell r="V3338">
            <v>422</v>
          </cell>
        </row>
        <row r="3339">
          <cell r="A3339">
            <v>3336</v>
          </cell>
          <cell r="B3339" t="str">
            <v>080.081.3438</v>
          </cell>
          <cell r="E3339" t="str">
            <v>SUSTANCIAS BIOLOGICAS. ANTISUERO E COLI OB. POLIVALENTE I. FRASCO PARA 30PRUEBAS. RTC.</v>
          </cell>
          <cell r="U3339">
            <v>56</v>
          </cell>
          <cell r="V3339">
            <v>138</v>
          </cell>
        </row>
        <row r="3340">
          <cell r="A3340">
            <v>3337</v>
          </cell>
          <cell r="B3340" t="str">
            <v>080.081.3446</v>
          </cell>
          <cell r="E3340" t="str">
            <v>SUSTANCIAS BIOLOGICAS. ANTISUERO E COLI O. POLIVALENTE B. FRASCO PARA 30PRUEBAS. RTC.</v>
          </cell>
          <cell r="U3340">
            <v>136</v>
          </cell>
          <cell r="V3340">
            <v>340</v>
          </cell>
        </row>
        <row r="3341">
          <cell r="A3341">
            <v>3338</v>
          </cell>
          <cell r="B3341" t="str">
            <v>080.081.3453</v>
          </cell>
          <cell r="E3341" t="str">
            <v>SUSTANCIAS BIOLOGICAS. ANTISUERO E COLI OB. POLIVALENTE II. FRASCO PARA 30PRUEBAS. RTC.</v>
          </cell>
          <cell r="U3341">
            <v>34</v>
          </cell>
          <cell r="V3341">
            <v>82</v>
          </cell>
        </row>
        <row r="3342">
          <cell r="A3342">
            <v>3339</v>
          </cell>
          <cell r="B3342" t="str">
            <v>080.081.3461</v>
          </cell>
          <cell r="E3342" t="str">
            <v>SUSTANCIAS BIOLOGICAS. ANTISUERO E COLI O. POLIVALENTE C. FRASCO PARA 30PRUEBAS. RTC.</v>
          </cell>
          <cell r="U3342">
            <v>160</v>
          </cell>
          <cell r="V3342">
            <v>398</v>
          </cell>
        </row>
        <row r="3343">
          <cell r="A3343">
            <v>3340</v>
          </cell>
          <cell r="B3343" t="str">
            <v>080.081.3826</v>
          </cell>
          <cell r="E3343" t="str">
            <v>SUEROS PARA TIPIFICAR LA SANGRE, MEDIOS PROTEICOS, ENZIMAS Y ANTIGENOS. ANTI-I.FRASCO CON 2 ML. RTC</v>
          </cell>
          <cell r="U3343">
            <v>10</v>
          </cell>
          <cell r="V3343">
            <v>24</v>
          </cell>
        </row>
        <row r="3344">
          <cell r="A3344">
            <v>3341</v>
          </cell>
          <cell r="B3344" t="str">
            <v>080.081.4006</v>
          </cell>
          <cell r="E3344" t="str">
            <v>SUEROS PARA TIPIFICAR LA SANGRE, MEDIOS PROTEICOS, ENZIMAS Y ANTIGENOS. ANTI-U.FRASCO CON 2 ML. RTC</v>
          </cell>
          <cell r="U3344">
            <v>10</v>
          </cell>
          <cell r="V3344">
            <v>24</v>
          </cell>
        </row>
        <row r="3345">
          <cell r="A3345">
            <v>3342</v>
          </cell>
          <cell r="B3345" t="str">
            <v>080.081.4014</v>
          </cell>
          <cell r="E3345" t="str">
            <v>SUSTANCIAS BIOLOGICAS. CONTROL RH - HR. FRASCO CON 10 ML. RTC.</v>
          </cell>
          <cell r="U3345">
            <v>618</v>
          </cell>
          <cell r="V3345">
            <v>1543</v>
          </cell>
        </row>
        <row r="3346">
          <cell r="A3346">
            <v>3343</v>
          </cell>
          <cell r="B3346" t="str">
            <v>080.081.4097</v>
          </cell>
          <cell r="E3346" t="str">
            <v>SUSTANCIAS BIOLOGICAS, ANTIGENOS, SUEROS. ANTISUEROS PREPARADOS EN CONEJO:COMPLEMENTO DE CONEJO PARA TIPIFICAR HLA ABC, MEDIANTE ANTICUERPOS ESPECIFICOS.FRASCO CON 1 ML. RTC.</v>
          </cell>
          <cell r="U3346">
            <v>2660</v>
          </cell>
          <cell r="V3346">
            <v>6648</v>
          </cell>
        </row>
        <row r="3347">
          <cell r="A3347">
            <v>3344</v>
          </cell>
          <cell r="B3347" t="str">
            <v>080.081.4105</v>
          </cell>
          <cell r="E3347" t="str">
            <v>SUSTANCIAS BIOLOGICAS, ANTIGENOS, SUEROS. ANTISUEROS PREPARADOS EN CONEJO:COMPLEMENTO DE CONEJO PARA DETERMINAR ANTIGENO HLA DR, MEDIANTE ANTISUEROSESPECIFICOS. FRASCO CON 2 ML. RTC.</v>
          </cell>
          <cell r="U3347">
            <v>144</v>
          </cell>
          <cell r="V3347">
            <v>360</v>
          </cell>
        </row>
        <row r="3348">
          <cell r="A3348">
            <v>3345</v>
          </cell>
          <cell r="B3348" t="str">
            <v>080.081.4253</v>
          </cell>
          <cell r="E3348" t="str">
            <v>SUSTANCIAS BIOLOGICAS, ANTIGENOS, SUEROS. GAMAGLOBULINA CON FITC RATON,CONJUGADA. RA. FRASCO CON 1 ML. RTC.</v>
          </cell>
          <cell r="U3348">
            <v>57</v>
          </cell>
          <cell r="V3348">
            <v>141</v>
          </cell>
        </row>
        <row r="3349">
          <cell r="A3349">
            <v>3346</v>
          </cell>
          <cell r="B3349" t="str">
            <v>080.081.4329</v>
          </cell>
          <cell r="E3349" t="str">
            <v>SUSTANCIAS BIOLOGICAS, ANTIGENOS, SUEROS. SUERO ANTI B. FRASCO CON 1 ML. CONSUERO CONTROL. JUEGO. RTC.</v>
          </cell>
          <cell r="U3349">
            <v>308</v>
          </cell>
          <cell r="V3349">
            <v>769</v>
          </cell>
        </row>
        <row r="3350">
          <cell r="A3350">
            <v>3347</v>
          </cell>
          <cell r="B3350" t="str">
            <v>080.081.4337</v>
          </cell>
          <cell r="E3350" t="str">
            <v>SUSTANCIAS BIOLOGICAS. EQUIPO PARA IDENTIFICACION SEROLOGICA DE STREPTOCOCCUSBETA HEMOLITICOS. A, B, C, D, E, F. PARA 40 PRUEBAS. RTC.</v>
          </cell>
          <cell r="U3350">
            <v>324</v>
          </cell>
          <cell r="V3350">
            <v>806</v>
          </cell>
        </row>
        <row r="3351">
          <cell r="A3351">
            <v>3348</v>
          </cell>
          <cell r="B3351" t="str">
            <v>080.081.4345</v>
          </cell>
          <cell r="E3351" t="str">
            <v>SUSTANCIAS BIOLOGICAS. ENSAYO INMUNOLOGICO PARA LA DETERMINACION RAPIDA DEESTREPTOCOCCUS GRUPO A. TOMA DIRECTA DEL RECOLECTOR DE MUESTREO. PARA 55PRUEBAS. RTC.</v>
          </cell>
          <cell r="U3351">
            <v>32</v>
          </cell>
          <cell r="V3351">
            <v>76</v>
          </cell>
        </row>
        <row r="3352">
          <cell r="A3352">
            <v>3349</v>
          </cell>
          <cell r="B3352" t="str">
            <v>080.081.4394</v>
          </cell>
          <cell r="E3352" t="str">
            <v>SUSTANCIAS BIOLOGICAS. REACCION DE COAGLUTINACION PARA LIQUIDO CEFALORRAQUIDEO.PARA MINIMO 10 PRUEBAS. RTC.</v>
          </cell>
          <cell r="U3352">
            <v>40</v>
          </cell>
          <cell r="V3352">
            <v>100</v>
          </cell>
        </row>
        <row r="3353">
          <cell r="A3353">
            <v>3350</v>
          </cell>
          <cell r="B3353" t="str">
            <v>080.081.4808</v>
          </cell>
          <cell r="E3353" t="str">
            <v>SUSTANCIAS BIOLOGICAS. ANTISUERO VIBRIO CHOLERAE MONOVALENTE INABA. FRASCO CON 3ML. RTC.</v>
          </cell>
          <cell r="U3353">
            <v>50</v>
          </cell>
          <cell r="V3353">
            <v>122</v>
          </cell>
        </row>
        <row r="3354">
          <cell r="A3354">
            <v>3351</v>
          </cell>
          <cell r="B3354" t="str">
            <v>080.081.4816</v>
          </cell>
          <cell r="E3354" t="str">
            <v>SUSTANCIAS BIOLOGICAS. ANTISUERO VIBRIO CHOLERAE MONOVALENTE OGAWA. FRASCO CON 3ML. RTC.</v>
          </cell>
          <cell r="U3354">
            <v>48</v>
          </cell>
          <cell r="V3354">
            <v>120</v>
          </cell>
        </row>
        <row r="3355">
          <cell r="A3355">
            <v>3352</v>
          </cell>
          <cell r="B3355" t="str">
            <v>080.081.4824</v>
          </cell>
          <cell r="E3355" t="str">
            <v>SUSTANCIAS BIOLOGICAS. ANTISUERO VIBRIO CHOLERAE, POLIVALENTE. FRASCO CON 3 ML.RTC.</v>
          </cell>
          <cell r="U3355">
            <v>160</v>
          </cell>
          <cell r="V3355">
            <v>396</v>
          </cell>
        </row>
        <row r="3356">
          <cell r="A3356">
            <v>3353</v>
          </cell>
          <cell r="B3356" t="str">
            <v>080.081.4915</v>
          </cell>
          <cell r="E3356" t="str">
            <v>SUSTANCIAS BIOLOGICAS. ANTISUERO ANTICITOQUERATINA DE BAJO PESO MOLECULAR.FRASCO CON 2 ML. RTC.</v>
          </cell>
          <cell r="U3356">
            <v>39</v>
          </cell>
          <cell r="V3356">
            <v>95</v>
          </cell>
        </row>
        <row r="3357">
          <cell r="A3357">
            <v>3354</v>
          </cell>
          <cell r="B3357" t="str">
            <v>080.081.4923</v>
          </cell>
          <cell r="E3357" t="str">
            <v>SUSTANCIAS BIOLOGICAS. ANTISUERO ANTICITOQUERATINA DE ALTO PESO MOLECULAR.FRASCO CON 2 ML. RTC.</v>
          </cell>
          <cell r="U3357">
            <v>39</v>
          </cell>
          <cell r="V3357">
            <v>95</v>
          </cell>
        </row>
        <row r="3358">
          <cell r="A3358">
            <v>3355</v>
          </cell>
          <cell r="B3358" t="str">
            <v>080.081.4931</v>
          </cell>
          <cell r="E3358" t="str">
            <v>SUSTANCIAS BIOLOGICAS. ANTISUERO CONTRA CD 45 R. FRASCO CON 1 ML. RTC.</v>
          </cell>
          <cell r="U3358">
            <v>19</v>
          </cell>
          <cell r="V3358">
            <v>45</v>
          </cell>
        </row>
        <row r="3359">
          <cell r="A3359">
            <v>3356</v>
          </cell>
          <cell r="B3359" t="str">
            <v>080.081.4949</v>
          </cell>
          <cell r="E3359" t="str">
            <v>SUSTANCIAS BIOLOGICAS. ANTISUERO CONTRA CALCITONINA Y TIROGLOBULINA. FRASCO CON1 ML. RTC.</v>
          </cell>
          <cell r="U3359">
            <v>10</v>
          </cell>
          <cell r="V3359">
            <v>24</v>
          </cell>
        </row>
        <row r="3360">
          <cell r="A3360">
            <v>3357</v>
          </cell>
          <cell r="B3360" t="str">
            <v>080.081.4964</v>
          </cell>
          <cell r="E3360" t="str">
            <v>SUSTANCIAS BIOLOGICAS. ANTISUERO CONTRA SOMATOSTATINA. FRASCO CON 1 ML. RTC.</v>
          </cell>
          <cell r="U3360">
            <v>10</v>
          </cell>
          <cell r="V3360">
            <v>24</v>
          </cell>
        </row>
        <row r="3361">
          <cell r="A3361">
            <v>3358</v>
          </cell>
          <cell r="B3361" t="str">
            <v>080.085.0018</v>
          </cell>
          <cell r="E3361" t="str">
            <v>ASAS.PARA SIEMBRA DE MEDIOS DE CULTIVO EN ESTUDIOS BACTERIOLOGICOS. DE ALAMBREDE NICROMEL. DIAMETRO DEL ASA: 3MM. LONGITUD DEL MANGO: 20CM. PAQUETE CON 12.</v>
          </cell>
          <cell r="U3361">
            <v>1421</v>
          </cell>
          <cell r="V3361">
            <v>3551</v>
          </cell>
        </row>
        <row r="3362">
          <cell r="A3362">
            <v>3359</v>
          </cell>
          <cell r="B3362" t="str">
            <v>080.085.0026</v>
          </cell>
          <cell r="E3362" t="str">
            <v>ASAS. PARA SIEMBRA DE MEDIOS DE CULTIVO EN ESTUDIOS BACTERIOLOGICOS. DE ALAMBREDE NICROMEL, CALIBRADA 1/100 ML. CON MANGO METALICO. PIEZA.</v>
          </cell>
          <cell r="U3362">
            <v>3161</v>
          </cell>
          <cell r="V3362">
            <v>7900</v>
          </cell>
        </row>
        <row r="3363">
          <cell r="A3363">
            <v>3360</v>
          </cell>
          <cell r="B3363" t="str">
            <v>080.085.0034</v>
          </cell>
          <cell r="E3363" t="str">
            <v>ASAS. PARA SIEMBRA DE MEDIOS DE CULTIVO EN ESTUDIOS BACTERIOLOGICOS. DE ALAMBREDE NICROMEL CALIBRADA 1/1000 ML. CON MANGO METALICO. PIEZA.</v>
          </cell>
          <cell r="U3363">
            <v>4344</v>
          </cell>
          <cell r="V3363">
            <v>10858</v>
          </cell>
        </row>
        <row r="3364">
          <cell r="A3364">
            <v>3361</v>
          </cell>
          <cell r="B3364" t="str">
            <v>080.098.0070</v>
          </cell>
          <cell r="E3364" t="str">
            <v>BOLSAS. BOLSAS PARA ALMACENAR SANGRE. UNA BOLSA DE 450-500 ML CON 67.5-75 ML DESOLUCION ACD Y UN TUBO COLECTOR INTEGRAL CON AGUJA NO. 15 O 16. PIEZA O ENVASECOLECTIVO.</v>
          </cell>
          <cell r="U3364">
            <v>1848</v>
          </cell>
          <cell r="V3364">
            <v>4619</v>
          </cell>
        </row>
        <row r="3365">
          <cell r="A3365">
            <v>3362</v>
          </cell>
          <cell r="B3365" t="str">
            <v>080.098.0088</v>
          </cell>
          <cell r="E3365" t="str">
            <v>BOLSAS. PARA RECOLECTAR SANGRE. UNA BOLSA DE 450-500 ML CON 63-70 ML DE SOLUCIONCPD Y UN TUBO COLECTOR INTEGRAL CON AGUJA NO. 15 O 16.</v>
          </cell>
          <cell r="U3365">
            <v>4924</v>
          </cell>
          <cell r="V3365">
            <v>12308</v>
          </cell>
        </row>
        <row r="3366">
          <cell r="A3366">
            <v>3363</v>
          </cell>
          <cell r="B3366" t="str">
            <v>080.098.0138</v>
          </cell>
          <cell r="E3366" t="str">
            <v>BOLSAS. PARA TRANSFERENCIA CON CONECTOR PERFORADOR. CAPACIDAD: 150 ML. PIEZA.</v>
          </cell>
          <cell r="U3366">
            <v>7719</v>
          </cell>
          <cell r="V3366">
            <v>19296</v>
          </cell>
        </row>
        <row r="3367">
          <cell r="A3367">
            <v>3364</v>
          </cell>
          <cell r="B3367" t="str">
            <v>080.098.0146</v>
          </cell>
          <cell r="E3367" t="str">
            <v>BOLSAS. PARA TRANSFERENCIA CON CONECTOR PERFORADOR. CAPACIDAD: 300 ML. PIEZA.</v>
          </cell>
          <cell r="U3367">
            <v>2425</v>
          </cell>
          <cell r="V3367">
            <v>6060</v>
          </cell>
        </row>
        <row r="3368">
          <cell r="A3368">
            <v>3365</v>
          </cell>
          <cell r="B3368" t="str">
            <v>080.140.0011</v>
          </cell>
          <cell r="E3368" t="str">
            <v>BULBOS DE GOMA. PARA GOTERO, DE LATEX. CAPACIDAD 1 ML. BOLSA CON 50.</v>
          </cell>
          <cell r="U3368">
            <v>12</v>
          </cell>
          <cell r="V3368">
            <v>27</v>
          </cell>
        </row>
        <row r="3369">
          <cell r="A3369">
            <v>3366</v>
          </cell>
          <cell r="B3369" t="str">
            <v>080.140.0029</v>
          </cell>
          <cell r="E3369" t="str">
            <v>BULBOS DE GOMA. PARA GOTERO, DE LATEX. CAPACIDAD 2 ML. BOLSA CON 50.</v>
          </cell>
          <cell r="U3369">
            <v>8</v>
          </cell>
          <cell r="V3369">
            <v>18</v>
          </cell>
        </row>
        <row r="3370">
          <cell r="A3370">
            <v>3367</v>
          </cell>
          <cell r="B3370" t="str">
            <v>080.148.0062</v>
          </cell>
          <cell r="E3370" t="str">
            <v>CAJAS. DE CRISTAL, PARA TINCION CON CANASTILLA METALICA, PARA 50 PREPARACIONES.(PORTAOBJETOS) JUEGO CON 22 PIEZAS.</v>
          </cell>
          <cell r="U3370">
            <v>878</v>
          </cell>
          <cell r="V3370">
            <v>2192</v>
          </cell>
        </row>
        <row r="3371">
          <cell r="A3371">
            <v>3368</v>
          </cell>
          <cell r="B3371" t="str">
            <v>080.148.0096</v>
          </cell>
          <cell r="E3371" t="str">
            <v>CAJAS. DE PETRI, DE VIDRIO RESISTENTE A LA ESTERILIZACION EN AUTOCLAVE, ENMEDIDAS DE: 100 X 10 MM. PIEZA.</v>
          </cell>
          <cell r="U3371">
            <v>57266</v>
          </cell>
          <cell r="V3371">
            <v>143162</v>
          </cell>
        </row>
        <row r="3372">
          <cell r="A3372">
            <v>3369</v>
          </cell>
          <cell r="B3372" t="str">
            <v>080.148.0104</v>
          </cell>
          <cell r="E3372" t="str">
            <v>CAJAS. DE PETRI, DE PLASTICO, ESTERILES, DESECHABLES, EN MEDIDAS DE: 100 X 10MM. CON CUBIERTA DE REPUESTO PARA LAS CAJAS DE LAS MEDIDAS MENCIONADAS. PIEZA.</v>
          </cell>
          <cell r="U3372">
            <v>9066</v>
          </cell>
          <cell r="V3372">
            <v>22662</v>
          </cell>
        </row>
        <row r="3373">
          <cell r="A3373">
            <v>3370</v>
          </cell>
          <cell r="B3373" t="str">
            <v>080.148.0138</v>
          </cell>
          <cell r="E3373" t="str">
            <v>CAJAS. DE PETRI, DE PLASTICO, ESTERILES, DESECHABLES, EN MEDIDAS DE: 100 X 15MM. CON CUBIERTA DE REPUESTO PARA LAS CAJAS DE LAS MEDIDAS MENCIONADAS. PIEZA.</v>
          </cell>
          <cell r="U3373">
            <v>346022</v>
          </cell>
          <cell r="V3373">
            <v>865053</v>
          </cell>
        </row>
        <row r="3374">
          <cell r="A3374">
            <v>3371</v>
          </cell>
          <cell r="B3374" t="str">
            <v>080.148.0237</v>
          </cell>
          <cell r="E3374" t="str">
            <v>CAJAS. DE PLASTICO, CON SEPARADORES PARA 25 PORTAOBJETOS. PIEZA.</v>
          </cell>
          <cell r="U3374">
            <v>16938</v>
          </cell>
          <cell r="V3374">
            <v>42343</v>
          </cell>
        </row>
        <row r="3375">
          <cell r="A3375">
            <v>3372</v>
          </cell>
          <cell r="B3375" t="str">
            <v>080.169.0058</v>
          </cell>
          <cell r="E3375" t="str">
            <v>CAMARAS. PARA CUENTA DE PLAQUETAS, DE VIDRIO, EN SISTEMA OPTICO DE CONTRASTE DEFASES, CON DOS COMPARTIMENTOS DE 0.1 MM DE PROFUNDIDAD CON CUBREOBJETOS DE 26 X26 X 0.4 MM.</v>
          </cell>
          <cell r="U3375">
            <v>69</v>
          </cell>
          <cell r="V3375">
            <v>172</v>
          </cell>
        </row>
        <row r="3376">
          <cell r="A3376">
            <v>3373</v>
          </cell>
          <cell r="B3376" t="str">
            <v>080.169.0157</v>
          </cell>
          <cell r="E3376" t="str">
            <v>CAMARAS. DE NEUBAWER. PARA CONTAR LEUCOCITOS Y ERITROCITOS, DE CRISTAL, CON DOSCOMPARTIMENTOS DE 0.1 MM DE PROFUNDIDAD. CON CUBREOBJETOS DE 20 X 26 X 0.4 MM DEGROSOR UNIFORME, ESPECIAL PARA DICHA CAMARA.</v>
          </cell>
          <cell r="U3376">
            <v>1436</v>
          </cell>
          <cell r="V3376">
            <v>3588</v>
          </cell>
        </row>
        <row r="3377">
          <cell r="A3377">
            <v>3374</v>
          </cell>
          <cell r="B3377" t="str">
            <v>080.171.0070</v>
          </cell>
          <cell r="E3377" t="str">
            <v>Canastillas. Para tinción de 50 laminillas. De acero inoxidable con asa removible. Pieza</v>
          </cell>
          <cell r="U3377">
            <v>566</v>
          </cell>
          <cell r="V3377">
            <v>1411</v>
          </cell>
        </row>
        <row r="3378">
          <cell r="A3378">
            <v>3375</v>
          </cell>
          <cell r="B3378" t="str">
            <v>080.181.0094</v>
          </cell>
          <cell r="E3378" t="str">
            <v>Cápsulas Para inclusión de tejidos. De acero inoxidable. Medidas: 20 x 5 mm.</v>
          </cell>
          <cell r="U3378">
            <v>7600</v>
          </cell>
          <cell r="V3378">
            <v>19000</v>
          </cell>
        </row>
        <row r="3379">
          <cell r="A3379">
            <v>3376</v>
          </cell>
          <cell r="B3379" t="str">
            <v>080.229.0023</v>
          </cell>
          <cell r="E3379" t="str">
            <v>REACTIVOS Y JUEGOS DE REACTIVOS PARA PRUEBAS ESPECIFICAS. COLORANTE DE WRIGHT.PARA TEÑIR FROTIS DE SANGRE O MEDULA OSEA. FRASCO CON 1000 ML. TA.</v>
          </cell>
          <cell r="U3379">
            <v>6559</v>
          </cell>
          <cell r="V3379">
            <v>16395</v>
          </cell>
        </row>
        <row r="3380">
          <cell r="A3380">
            <v>3377</v>
          </cell>
          <cell r="B3380" t="str">
            <v>080.229.0072</v>
          </cell>
          <cell r="E3380" t="str">
            <v>REACTIVOS Y JUEGOS DE REACTIVOS PARA PRUEBAS ESPECIFICAS. VIOLETA DE GENCIANA.PARA LA TINCION DE GRAM. FRASCO CON 500 ML. TA.</v>
          </cell>
          <cell r="U3380">
            <v>4206</v>
          </cell>
          <cell r="V3380">
            <v>10514</v>
          </cell>
        </row>
        <row r="3381">
          <cell r="A3381">
            <v>3378</v>
          </cell>
          <cell r="B3381" t="str">
            <v>080.229.0080</v>
          </cell>
          <cell r="E3381" t="str">
            <v>REACTIVOS Y JUEGOS DE REACTIVOS PARA PRUEBAS ESPECIFICAS. AZUL DE METILENO DELÖEFFLER. COLORANTE DE CONTRASTE PARA BACILOS ACIDO-ALCOHOL RESISTENTES. FRASCOCON 500 ML. TA.</v>
          </cell>
          <cell r="U3381">
            <v>8365</v>
          </cell>
          <cell r="V3381">
            <v>20911</v>
          </cell>
        </row>
        <row r="3382">
          <cell r="A3382">
            <v>3379</v>
          </cell>
          <cell r="B3382" t="str">
            <v>080.229.0262</v>
          </cell>
          <cell r="E3382" t="str">
            <v>REACTIVOS Y JUEGOS DE REACTIVOS PARA PRUEBAS ESPECIFICAS. AZUL DE METILENONUEVO. COLORANTE PARA RETICULOCITOS. FRASCO CON 25 ML. TA.</v>
          </cell>
          <cell r="U3382">
            <v>2487</v>
          </cell>
          <cell r="V3382">
            <v>6215</v>
          </cell>
        </row>
        <row r="3383">
          <cell r="A3383">
            <v>3380</v>
          </cell>
          <cell r="B3383" t="str">
            <v>080.229.0437</v>
          </cell>
          <cell r="E3383" t="str">
            <v>REACTIVOS QUIMICOS. CARMIN DE BEST. COLORANTE BIOLOGICO. FRASCO CON 25 G. TA.</v>
          </cell>
          <cell r="U3383">
            <v>10</v>
          </cell>
          <cell r="V3383">
            <v>24</v>
          </cell>
        </row>
        <row r="3384">
          <cell r="A3384">
            <v>3381</v>
          </cell>
          <cell r="B3384" t="str">
            <v>080.229.0486</v>
          </cell>
          <cell r="E3384" t="str">
            <v>REACTIVOS QUIMICOS. MUSICARMIN. FRASCO CON 25 G. TA.</v>
          </cell>
          <cell r="U3384">
            <v>84</v>
          </cell>
          <cell r="V3384">
            <v>209</v>
          </cell>
        </row>
        <row r="3385">
          <cell r="A3385">
            <v>3382</v>
          </cell>
          <cell r="B3385" t="str">
            <v>080.229.0577</v>
          </cell>
          <cell r="E3385" t="str">
            <v>REACTIVOS QUIMICOS. PONCEAU 2 R. FRASCO CON 25 G. TA.</v>
          </cell>
          <cell r="U3385">
            <v>10</v>
          </cell>
          <cell r="V3385">
            <v>24</v>
          </cell>
        </row>
        <row r="3386">
          <cell r="A3386">
            <v>3383</v>
          </cell>
          <cell r="B3386" t="str">
            <v>080.229.0593</v>
          </cell>
          <cell r="E3386" t="str">
            <v>REACTIVOS QUIMICOS. ROSA DE BENGALA. COLORANTE BIOLOGICO. FRASCO CON 25 G. TA.</v>
          </cell>
          <cell r="U3386">
            <v>42</v>
          </cell>
          <cell r="V3386">
            <v>105</v>
          </cell>
        </row>
        <row r="3387">
          <cell r="A3387">
            <v>3384</v>
          </cell>
          <cell r="B3387" t="str">
            <v>080.229.0601</v>
          </cell>
          <cell r="E3387" t="str">
            <v>REACTIVOS QUIMICOS. CLORHIDRATO DE PARARROSANILINA BASICA (FUCSINA). FRASCO CON10 G. TA.</v>
          </cell>
          <cell r="U3387">
            <v>19</v>
          </cell>
          <cell r="V3387">
            <v>45</v>
          </cell>
        </row>
        <row r="3388">
          <cell r="A3388">
            <v>3385</v>
          </cell>
          <cell r="B3388" t="str">
            <v>080.229.0650</v>
          </cell>
          <cell r="E3388" t="str">
            <v>REACTIVOS QUIMICOS. AZUL TRIPANO AL 0.4%. FRASCO CON 25 ML. TA.</v>
          </cell>
          <cell r="U3388">
            <v>782</v>
          </cell>
          <cell r="V3388">
            <v>1952</v>
          </cell>
        </row>
        <row r="3389">
          <cell r="A3389">
            <v>3386</v>
          </cell>
          <cell r="B3389" t="str">
            <v>080.229.0676</v>
          </cell>
          <cell r="E3389" t="str">
            <v>REACTIVOS QUIMICOS. FAST AZUL BB (SAL). FRASCO CON 5 G. TA.</v>
          </cell>
          <cell r="U3389">
            <v>56</v>
          </cell>
          <cell r="V3389">
            <v>137</v>
          </cell>
        </row>
        <row r="3390">
          <cell r="A3390">
            <v>3387</v>
          </cell>
          <cell r="B3390" t="str">
            <v>080.229.2714</v>
          </cell>
          <cell r="E3390" t="str">
            <v>SUSTANCIAS BIOLOGICAS. MARCADOR FLUORESCEINADO CON ISOTIOCIANATO DEFLUORESCEINA, PARA LA IDENTIFICACION DE LA FRACCION CLQ. FRASCO CON 2 ML. RTC.</v>
          </cell>
          <cell r="U3390">
            <v>21</v>
          </cell>
          <cell r="V3390">
            <v>51</v>
          </cell>
        </row>
        <row r="3391">
          <cell r="A3391">
            <v>3388</v>
          </cell>
          <cell r="B3391" t="str">
            <v>080.229.2722</v>
          </cell>
          <cell r="E3391" t="str">
            <v>SUSTANCIAS BIOLOGICAS. MARCADOR FLUORESCEINADO CON ISOTIOCIANATO DE FLUORESCEINAPARA LA IDENTIFICACION DE LA FRACCION C3. FRASCO CON 2 ML. RTC.</v>
          </cell>
          <cell r="U3391">
            <v>12</v>
          </cell>
          <cell r="V3391">
            <v>27</v>
          </cell>
        </row>
        <row r="3392">
          <cell r="A3392">
            <v>3389</v>
          </cell>
          <cell r="B3392" t="str">
            <v>080.229.2730</v>
          </cell>
          <cell r="E3392" t="str">
            <v>SUSTANCIAS BIOLOGICAS. MARCADOR FLUORESCEINADO CON ISOTIOCIANATO DE FLUORESCEINAPARA IDENTIFICAR FIBRINOGENO. FRASCO CON 2 ML. RTC.</v>
          </cell>
          <cell r="U3392">
            <v>12</v>
          </cell>
          <cell r="V3392">
            <v>27</v>
          </cell>
        </row>
        <row r="3393">
          <cell r="A3393">
            <v>3390</v>
          </cell>
          <cell r="B3393" t="str">
            <v>080.229.2748</v>
          </cell>
          <cell r="E3393" t="str">
            <v>SUSTANCIAS BIOLOGICAS. MARCADOR FLUORESCEINADO CON ISOTIOCIANATO DE FLUORESCEINAPARA IDENTIFICAR ALBUMINA. FRASCO CON 2 ML. RTC.</v>
          </cell>
          <cell r="U3393">
            <v>12</v>
          </cell>
          <cell r="V3393">
            <v>27</v>
          </cell>
        </row>
        <row r="3394">
          <cell r="A3394">
            <v>3391</v>
          </cell>
          <cell r="B3394" t="str">
            <v>080.229.2755</v>
          </cell>
          <cell r="E3394" t="str">
            <v>SUSTANCIAS BIOLOGICAS. MARCADOR FLUORESCEINADO CON ISOTIOCIANATO DE FLUORESCEINAPARA LA IDENTIFICACION DE LA FRACCION C4. FRASCO CON 2 ML. RTC.</v>
          </cell>
          <cell r="U3394">
            <v>12</v>
          </cell>
          <cell r="V3394">
            <v>27</v>
          </cell>
        </row>
        <row r="3395">
          <cell r="A3395">
            <v>3392</v>
          </cell>
          <cell r="B3395" t="str">
            <v>080.229.2995</v>
          </cell>
          <cell r="E3395" t="str">
            <v>REACTIVOS QUIMICOS. HEMATOXILINA DE HARRIS. COLORANTE PREPARADO DE ORIGENNATURAL SIN OXIDO DE MERCURIO. FRASCO DE 1000 ML. TA.</v>
          </cell>
          <cell r="U3395">
            <v>1018</v>
          </cell>
          <cell r="V3395">
            <v>2541</v>
          </cell>
        </row>
        <row r="3396">
          <cell r="A3396">
            <v>3393</v>
          </cell>
          <cell r="B3396" t="str">
            <v>080.235.0140</v>
          </cell>
          <cell r="E3396" t="str">
            <v>Cuchillas Desechables con adaptador para microtomo. Para cortes histológicos en parafina. Paquete con 100 piezas.</v>
          </cell>
          <cell r="U3396">
            <v>5040</v>
          </cell>
          <cell r="V3396">
            <v>12599</v>
          </cell>
        </row>
        <row r="3397">
          <cell r="A3397">
            <v>3394</v>
          </cell>
          <cell r="B3397" t="str">
            <v>080.235.0363</v>
          </cell>
          <cell r="E3397" t="str">
            <v>DISCOS CON ANTIMICROBIANOS. PARA LA DEMOSTRACION “IN VITRO” DE LASUSCEPTIBILIDAD BACTERIANA A LOS ANTIMICROBIANOS. ACCESORIOS: DISTRIBUIDOR DEPLASTICO PARA LA APLICACION DE 8 A 12 SENSIDISCOS SIMULTANEAMENTE PARA CAJAS DEPETRI. PIEZA.</v>
          </cell>
          <cell r="U3397">
            <v>28</v>
          </cell>
          <cell r="V3397">
            <v>69</v>
          </cell>
        </row>
        <row r="3398">
          <cell r="A3398">
            <v>3395</v>
          </cell>
          <cell r="B3398" t="str">
            <v>080.235.0843</v>
          </cell>
          <cell r="E3398" t="str">
            <v>Moldes. Para inclusión en parafina desechables desprendibles de: 8 mm.</v>
          </cell>
          <cell r="U3398">
            <v>80</v>
          </cell>
          <cell r="V3398">
            <v>200</v>
          </cell>
        </row>
        <row r="3399">
          <cell r="A3399">
            <v>3396</v>
          </cell>
          <cell r="B3399" t="str">
            <v>080.235.0850</v>
          </cell>
          <cell r="E3399" t="str">
            <v>Moldes. Para inclusión en parafina desechables desprendibles de: 12 mm.</v>
          </cell>
          <cell r="U3399">
            <v>80</v>
          </cell>
          <cell r="V3399">
            <v>200</v>
          </cell>
        </row>
        <row r="3400">
          <cell r="A3400">
            <v>3397</v>
          </cell>
          <cell r="B3400" t="str">
            <v>080.235.0868</v>
          </cell>
          <cell r="E3400" t="str">
            <v>Moldes. Para inclusión en parafina desechables desprendibles de: 22 mm.</v>
          </cell>
          <cell r="U3400">
            <v>1474758</v>
          </cell>
          <cell r="V3400">
            <v>3686894</v>
          </cell>
        </row>
        <row r="3401">
          <cell r="A3401">
            <v>3398</v>
          </cell>
          <cell r="B3401" t="str">
            <v>080.235.0876</v>
          </cell>
          <cell r="E3401" t="str">
            <v>HISOPOS. HISOPO DE MANGO DE PLASTICO FLEXIBLE, DEL NUMERO CUATRO, PARA TOMA DEEXUDADO NASOFARINGEO PARA LA IDENTIFICACION DE MICROORGANISMOS PATOGENOSEXIGENTES. CON PUNTOS DE CORTE Y PUNTA DE ALGINATO DE CALCIO. ESTERILES.ENVOLTURA INDIVIDUAL. PZA.</v>
          </cell>
          <cell r="U3401">
            <v>63623</v>
          </cell>
          <cell r="V3401">
            <v>159055</v>
          </cell>
        </row>
        <row r="3402">
          <cell r="A3402">
            <v>3399</v>
          </cell>
          <cell r="B3402" t="str">
            <v>080.235.0959</v>
          </cell>
          <cell r="E3402" t="str">
            <v>TUBOS. EQUIPO ALADO PARA RECOLECCION DE SANGRE, COMPATIBLE CON EL SISTEMA DERECOLECCION AL VACIO, AGUJA CALIBRE 23X19 MM CON TUBO FLEXIBLE DE HULE DE 17.78CM (7”) DE LONGITUD Y BROCHE DE SEGURIDAD. ALAS DE COLOR AZUL CLARO, ADAPTADORCON AGUJA Y MANGA RETRACTIL PARA TOMA MULTIPLE, ESTERIL Y DESECHABLE. CAJA CON50 PIEZAS.</v>
          </cell>
          <cell r="U3402">
            <v>1263</v>
          </cell>
          <cell r="V3402">
            <v>3156</v>
          </cell>
        </row>
        <row r="3403">
          <cell r="A3403">
            <v>3400</v>
          </cell>
          <cell r="B3403" t="str">
            <v>080.235.0967</v>
          </cell>
          <cell r="E3403" t="str">
            <v>TUBOS. EQUIPO ALADO PARA RECOLECCION DE SANGRE, COMPATIBLE CON EL SISTEMA DERECOLECCION AL VACIO, AGUJA CALIBRE 21X19 MM CON TUBO DE HULE DE 17.78 CM (7”)DE LONGITUD Y BROCHE DE SEGURIDAD. ALAS DE COLOR VERDE ADAPTADOR CON AGUJA YMANGA RETRACTIL PARA LA TOMA MULTIPLE, ESTERIL Y DESECHABLE. CAJA CON 50 PIEZAS.</v>
          </cell>
          <cell r="U3403">
            <v>865</v>
          </cell>
          <cell r="V3403">
            <v>2159</v>
          </cell>
        </row>
        <row r="3404">
          <cell r="A3404">
            <v>3401</v>
          </cell>
          <cell r="B3404" t="str">
            <v>080.235.1106</v>
          </cell>
          <cell r="E3404" t="str">
            <v>HISOPOS. HISOPOS DE MANGO DE PLASTICO FLEXIBLE DE 15 CM DE LARGO, CON PUNTOS DECORTE Y PUNTA DE RAYON. ESTERILES. ENVOLTURA INDIVIDUAL. PIEZA.</v>
          </cell>
          <cell r="U3404">
            <v>29853</v>
          </cell>
          <cell r="V3404">
            <v>74630</v>
          </cell>
        </row>
        <row r="3405">
          <cell r="A3405">
            <v>3402</v>
          </cell>
          <cell r="B3405" t="str">
            <v>080.235.1148</v>
          </cell>
          <cell r="E3405" t="str">
            <v>HISOPOS. HISOPO DE MANGO DE PLASTICO RIGIDO, DE 15 CM DE LARGO, CON PUNTOS DECORTE Y PUNTA RAYON. ESTERILES. ENVOLTURA INDIVIDUAL. PIEZA.</v>
          </cell>
          <cell r="U3405">
            <v>3987</v>
          </cell>
          <cell r="V3405">
            <v>9967</v>
          </cell>
        </row>
        <row r="3406">
          <cell r="A3406">
            <v>3403</v>
          </cell>
          <cell r="B3406" t="str">
            <v>080.235.1155</v>
          </cell>
          <cell r="E3406" t="str">
            <v>HISOPOS. HISOPO DE MANGO DE PLASTICO RIGIDO, DE 15 CM DE LARGO, CON PUNTOS DECORTE Y PUNTA DE DACRON. ESTERILES. ENVOLTURA INDIVIDUAL. PIEZA</v>
          </cell>
          <cell r="U3406">
            <v>12568</v>
          </cell>
          <cell r="V3406">
            <v>31419</v>
          </cell>
        </row>
        <row r="3407">
          <cell r="A3407">
            <v>3404</v>
          </cell>
          <cell r="B3407" t="str">
            <v>080.235.1163</v>
          </cell>
          <cell r="E3407" t="str">
            <v>HISOPOS. HISOPO DE MANGO DE PLASTICO RIGIDO, DEL NUMERO CUATRO PARA TOMA DEEXUDADO FARINGEO PARA LA IDENTIFICACION DE MICROORGANISMOS PATOGENOS EXIGENTES.CON PUNTOS DE CORTE Y PUNTA DE ALGINATO DE CALCIO. ESTERILES. ENVOLTURAINDIVIDUAL. PIEZA.</v>
          </cell>
          <cell r="U3407">
            <v>20529</v>
          </cell>
          <cell r="V3407">
            <v>51321</v>
          </cell>
        </row>
        <row r="3408">
          <cell r="A3408">
            <v>3405</v>
          </cell>
          <cell r="B3408" t="str">
            <v>080.253.0014</v>
          </cell>
          <cell r="E3408" t="str">
            <v>CUBREHEMATIMETROS. PARA CUBRIR CAMARAS EN LA CUENTA DE LEUCOCITOS, ERITROCITOS OPLAQUETAS, DE VIDRIO, CON FORMA RECTANGULAR DE 20 X 26 X 0.4 A 0.6 MM.</v>
          </cell>
          <cell r="U3408">
            <v>886</v>
          </cell>
          <cell r="V3408">
            <v>2214</v>
          </cell>
        </row>
        <row r="3409">
          <cell r="A3409">
            <v>3406</v>
          </cell>
          <cell r="B3409" t="str">
            <v>080.265.0036</v>
          </cell>
          <cell r="E3409" t="str">
            <v>CUBREOBJETOS DE VIDRIO NO. 2. RECTANGULAR O CUADRADO CON UN ESPESOR DE 0.25 MM.EN DOS DIMENSIONES: 22 X 22 MM.</v>
          </cell>
          <cell r="U3409">
            <v>552</v>
          </cell>
          <cell r="V3409">
            <v>1380</v>
          </cell>
        </row>
        <row r="3410">
          <cell r="A3410">
            <v>3407</v>
          </cell>
          <cell r="B3410" t="str">
            <v>080.265.0044</v>
          </cell>
          <cell r="E3410" t="str">
            <v>Cubreobjetos De vidrio No. 2. Rectangular o cuadrado con un espesor de 0.25 mm. En dos dimensiones: 24 x 50 mm.</v>
          </cell>
          <cell r="U3410">
            <v>8</v>
          </cell>
          <cell r="V3410">
            <v>20</v>
          </cell>
        </row>
        <row r="3411">
          <cell r="A3411">
            <v>3408</v>
          </cell>
          <cell r="B3411" t="str">
            <v>080.265.0515</v>
          </cell>
          <cell r="E3411" t="str">
            <v>Cubreobjetos De vidrio No. 1. Con un espesor de 0.13 a 0.16 mm. Con dimensiones: 22 x 22 mm. Caja con 150.</v>
          </cell>
          <cell r="U3411">
            <v>112721</v>
          </cell>
          <cell r="V3411">
            <v>281800</v>
          </cell>
        </row>
        <row r="3412">
          <cell r="A3412">
            <v>3409</v>
          </cell>
          <cell r="B3412" t="str">
            <v>080.265.0523</v>
          </cell>
          <cell r="E3412" t="str">
            <v>Cubreobjetos De vidrio No. 1. Con un espesor de 0.13 a 0.16 mm. Con dimensiones: 24 x 50 mm. Caja con 150.</v>
          </cell>
          <cell r="U3412">
            <v>64689</v>
          </cell>
          <cell r="V3412">
            <v>161721</v>
          </cell>
        </row>
        <row r="3413">
          <cell r="A3413">
            <v>3410</v>
          </cell>
          <cell r="B3413" t="str">
            <v>080.286.0072</v>
          </cell>
          <cell r="E3413" t="str">
            <v>DENSIMETROS. PARA LA DENSIDAD DE DIVERSOS LIQUIDOS, CON ESCALA DE 1000 A 1200 Y30 CM DE LONGITUD. PIEZA.</v>
          </cell>
          <cell r="U3413">
            <v>241</v>
          </cell>
          <cell r="V3413">
            <v>599</v>
          </cell>
        </row>
        <row r="3414">
          <cell r="A3414">
            <v>3411</v>
          </cell>
          <cell r="B3414" t="str">
            <v>080.316.0035</v>
          </cell>
          <cell r="E3414" t="str">
            <v>DISCOS CON ANTIMICROBIANOS. TETRACICLINA DISCOS CON 30 MICROGRAMOS. EN CARTUCHOCON 50 SENSIDISCOS PARA DISTRIBUIDOR AUTOMATICO. RTC.</v>
          </cell>
          <cell r="U3414">
            <v>512</v>
          </cell>
          <cell r="V3414">
            <v>1278</v>
          </cell>
        </row>
        <row r="3415">
          <cell r="A3415">
            <v>3412</v>
          </cell>
          <cell r="B3415" t="str">
            <v>080.316.0043</v>
          </cell>
          <cell r="E3415" t="str">
            <v>DISCOS CON ANTIMICROBIANOS. TRIMETOPRIMA Y SULFAMETOXAZOL DISCOS CON 25MICROGRAMOS. EN CARTUCHO CON 50 SENSIDISCOS PARA DISTRIBUIDOR AUTOMATICO. RTC.</v>
          </cell>
          <cell r="U3415">
            <v>1100</v>
          </cell>
          <cell r="V3415">
            <v>2750</v>
          </cell>
        </row>
        <row r="3416">
          <cell r="A3416">
            <v>3413</v>
          </cell>
          <cell r="B3416" t="str">
            <v>080.316.0076</v>
          </cell>
          <cell r="E3416" t="str">
            <v>DISCOS CON ANTIMICROBIANOS. POLIMIXINA B DISCOS CON 50 UI. FRASCO CON 50SENSIDISCOS. RTC.</v>
          </cell>
          <cell r="U3416">
            <v>192</v>
          </cell>
          <cell r="V3416">
            <v>478</v>
          </cell>
        </row>
        <row r="3417">
          <cell r="A3417">
            <v>3414</v>
          </cell>
          <cell r="B3417" t="str">
            <v>080.316.0100</v>
          </cell>
          <cell r="E3417" t="str">
            <v>DISCOS CON ANTIMICROBIANOS. NITROFURANTOINA DISCOS CON 300 MICROGRAMOS. ENCARTUCHO CON 50 SENSIDISCOS PARA DISTRIBUIDOR AUTOMATICO. RTC.</v>
          </cell>
          <cell r="U3417">
            <v>858</v>
          </cell>
          <cell r="V3417">
            <v>2142</v>
          </cell>
        </row>
        <row r="3418">
          <cell r="A3418">
            <v>3415</v>
          </cell>
          <cell r="B3418" t="str">
            <v>080.316.0118</v>
          </cell>
          <cell r="E3418" t="str">
            <v>DISCOS CON ANTIMICROBIANOS. OPTOQUINA DISCOS PARA DIFERENCIAR EL STREPTOCOCCUSPNEUMONIAE DEL STREPTOCOCCUS PRODUCTOR DE ALFA- HEMOLISIS. EN FRASCO O TUBO CON50. RTC.</v>
          </cell>
          <cell r="U3418">
            <v>1640</v>
          </cell>
          <cell r="V3418">
            <v>4100</v>
          </cell>
        </row>
        <row r="3419">
          <cell r="A3419">
            <v>3416</v>
          </cell>
          <cell r="B3419" t="str">
            <v>080.316.0126</v>
          </cell>
          <cell r="E3419" t="str">
            <v>DISCOS CON ANTIMICROBIANOS. PENICILINA DISCOS CON 10 UNIDADES. EN CARTUCHO CON50 SENSIDISCOS PARA DISTRIBUIDOR AUTOMATICO. RTC.</v>
          </cell>
          <cell r="U3419">
            <v>956</v>
          </cell>
          <cell r="V3419">
            <v>2388</v>
          </cell>
        </row>
        <row r="3420">
          <cell r="A3420">
            <v>3417</v>
          </cell>
          <cell r="B3420" t="str">
            <v>080.316.0134</v>
          </cell>
          <cell r="E3420" t="str">
            <v>DISCOS CON ANTIMICROBIANOS. FURAZOLIDONA DISCOS CON 100 MICROGRAMOS. EN CARTUCHOCON 50 SENSIDISCOS PARA DISTRIBUIDOR AUTOMATICO. RTC.</v>
          </cell>
          <cell r="U3420">
            <v>346</v>
          </cell>
          <cell r="V3420">
            <v>864</v>
          </cell>
        </row>
        <row r="3421">
          <cell r="A3421">
            <v>3418</v>
          </cell>
          <cell r="B3421" t="str">
            <v>080.316.0159</v>
          </cell>
          <cell r="E3421" t="str">
            <v>DISCOS CON ANTIMICROBIANOS. AMIKACINA. DISCOS CON 30 MICROGRAMOS. EN CARTUCHOCON 50 SENSIDISCOS PARA DISTRIBUIDOR AUTOMATICO. RTC.</v>
          </cell>
          <cell r="U3421">
            <v>954</v>
          </cell>
          <cell r="V3421">
            <v>2382</v>
          </cell>
        </row>
        <row r="3422">
          <cell r="A3422">
            <v>3419</v>
          </cell>
          <cell r="B3422" t="str">
            <v>080.316.0175</v>
          </cell>
          <cell r="E3422" t="str">
            <v>DISCOS CON ANTIMICROBIANOS. CLORAMFENICOL DISCOS CON 30 MICROGRAMOS. EN CARTUCHOCON 50 SENSIDISCOS PARA DISTRIBUIDOR AUTOMATICO. RTC.</v>
          </cell>
          <cell r="U3422">
            <v>762</v>
          </cell>
          <cell r="V3422">
            <v>1904</v>
          </cell>
        </row>
        <row r="3423">
          <cell r="A3423">
            <v>3420</v>
          </cell>
          <cell r="B3423" t="str">
            <v>080.316.0555</v>
          </cell>
          <cell r="E3423" t="str">
            <v>DISCOS CON ANTIMICROBIANOS. BACITRACINA DISCOS CON 0.04 UNIDADES. EN CARTUCHOCON 50 SENSIDISCOS PARA DISTRIBUIDOR AUTOMATICO. RTC.</v>
          </cell>
          <cell r="U3423">
            <v>1682</v>
          </cell>
          <cell r="V3423">
            <v>4204</v>
          </cell>
        </row>
        <row r="3424">
          <cell r="A3424">
            <v>3421</v>
          </cell>
          <cell r="B3424" t="str">
            <v>080.316.0647</v>
          </cell>
          <cell r="E3424" t="str">
            <v>DISCOS CON ANTIMICROBIANOS. CLORHIDRATO DE N-N DIMETILPARAFENILENDIAMINA. DISCOSPARA IDENTIFICAR NEISSERIA Y PSEUDOMONAS. EN FRASCO O TUBO CON 50. RTC.</v>
          </cell>
          <cell r="U3424">
            <v>798</v>
          </cell>
          <cell r="V3424">
            <v>1992</v>
          </cell>
        </row>
        <row r="3425">
          <cell r="A3425">
            <v>3422</v>
          </cell>
          <cell r="B3425" t="str">
            <v>080.316.0902</v>
          </cell>
          <cell r="E3425" t="str">
            <v>DISCOS CON ANTIMICROBIANOS. ERITROMICINA DISCOS CON 15 MICROGRAMOS. EN CARTUCHOCON 50 SENSIDISCOS PARA DISTRIBUIDOR AUTOMATICO. RTC.</v>
          </cell>
          <cell r="U3425">
            <v>938</v>
          </cell>
          <cell r="V3425">
            <v>2342</v>
          </cell>
        </row>
        <row r="3426">
          <cell r="A3426">
            <v>3423</v>
          </cell>
          <cell r="B3426" t="str">
            <v>080.316.1751</v>
          </cell>
          <cell r="E3426" t="str">
            <v>DISCOS CON ANTIMICROBIANOS. CARBENICILINA DISCOS CON 100 MICROGRAMOS. ENCARTUCHO CON 50 SENSIDISCOS PARA DISTRIBUIDOR AUTOMATICO. RTC.</v>
          </cell>
          <cell r="U3426">
            <v>518</v>
          </cell>
          <cell r="V3426">
            <v>1294</v>
          </cell>
        </row>
        <row r="3427">
          <cell r="A3427">
            <v>3424</v>
          </cell>
          <cell r="B3427" t="str">
            <v>080.316.2056</v>
          </cell>
          <cell r="E3427" t="str">
            <v>DISCOS CON ANTIMICROBIANOS. DICLOXACILINA DISCOS CON 1 MICROGRAMO. EN CARTUCHOCON 50 SENSIDISCOS PARA DISTRIBUIDOR AUTOMATICO. RTC.</v>
          </cell>
          <cell r="U3427">
            <v>818</v>
          </cell>
          <cell r="V3427">
            <v>2042</v>
          </cell>
        </row>
        <row r="3428">
          <cell r="A3428">
            <v>3425</v>
          </cell>
          <cell r="B3428" t="str">
            <v>080.316.2601</v>
          </cell>
          <cell r="E3428" t="str">
            <v>DISCOS CON ANTIMICROBIANOS. GENTAMICINA DISCOS CON 10 MICROGRAMOS. EN CARTUCHOCON 50 SENSIDISCOS PARA DISTRIBUIDOR AUTOMATICO. RTC.</v>
          </cell>
          <cell r="U3428">
            <v>668</v>
          </cell>
          <cell r="V3428">
            <v>1670</v>
          </cell>
        </row>
        <row r="3429">
          <cell r="A3429">
            <v>3426</v>
          </cell>
          <cell r="B3429" t="str">
            <v>080.316.3757</v>
          </cell>
          <cell r="E3429" t="str">
            <v>DISCOS CON ANTIMICROBIANOS. AMPICILINA. DISCOS CON 10 MICROGRAMOS. EN CARTUCHOCON 50 SENSIDISCOS PARA DISTRIBUIDOR AUTOMATICO. RTC.</v>
          </cell>
          <cell r="U3429">
            <v>844</v>
          </cell>
          <cell r="V3429">
            <v>2106</v>
          </cell>
        </row>
        <row r="3430">
          <cell r="A3430">
            <v>3427</v>
          </cell>
          <cell r="B3430" t="str">
            <v>080.354.0137</v>
          </cell>
          <cell r="E3430" t="str">
            <v>SUEROS PARA TIPIFICAR LA SANGRE, MEDIOS PROTEICOS, ENZIMAS Y ANTIGENOS.BROMELASA. SEIS FRASCOS DE 2 ML. RTC.</v>
          </cell>
          <cell r="U3430">
            <v>2</v>
          </cell>
          <cell r="V3430">
            <v>2</v>
          </cell>
        </row>
        <row r="3431">
          <cell r="A3431">
            <v>3428</v>
          </cell>
          <cell r="B3431" t="str">
            <v>080.365.0332</v>
          </cell>
          <cell r="E3431" t="str">
            <v>NEBULIZADOR. EQUIPO DESECHABLE PARA NEBULIZADOR DE USO PEDIATRICO, PARA ESTUDIOSVENTILATORIOS PULMONARES, PARA PARTICULAS DE 3 MICRAS O MENOR. PIEZA.</v>
          </cell>
          <cell r="U3431">
            <v>86</v>
          </cell>
          <cell r="V3431">
            <v>212</v>
          </cell>
        </row>
        <row r="3432">
          <cell r="A3432">
            <v>3429</v>
          </cell>
          <cell r="B3432" t="str">
            <v>080.365.0340</v>
          </cell>
          <cell r="E3432" t="str">
            <v>Nebulizador. Equipo desechable para nebulizador de uso en adultos para estudios ventilatorios pulmonares para partículas de 3 micras o menor. Pieza.</v>
          </cell>
          <cell r="U3432">
            <v>633</v>
          </cell>
          <cell r="V3432">
            <v>1580</v>
          </cell>
        </row>
        <row r="3433">
          <cell r="A3433">
            <v>3430</v>
          </cell>
          <cell r="B3433" t="str">
            <v>080.371.0029</v>
          </cell>
          <cell r="E3433" t="str">
            <v>SUSTANCIAS BIOLOGICAS. ERITROCITOS DE CARNERO. FRASCO CON 50 ML. RTC.</v>
          </cell>
          <cell r="U3433">
            <v>6136</v>
          </cell>
          <cell r="V3433">
            <v>15338</v>
          </cell>
        </row>
        <row r="3434">
          <cell r="A3434">
            <v>3431</v>
          </cell>
          <cell r="B3434" t="str">
            <v>080.382.0109</v>
          </cell>
          <cell r="E3434" t="str">
            <v>ESCOBILLONES. DE CERDAS PARA LAVAR TUBOS DE ENSAYE Y FRASCOS, CON LONGITUD DE12.5 CM Y LONGITUD TOTAL 27.5 CM. DIAMETRO. 5.0 CM.</v>
          </cell>
          <cell r="U3434">
            <v>4199</v>
          </cell>
          <cell r="V3434">
            <v>10495</v>
          </cell>
        </row>
        <row r="3435">
          <cell r="A3435">
            <v>3432</v>
          </cell>
          <cell r="B3435" t="str">
            <v>080.382.0257</v>
          </cell>
          <cell r="E3435" t="str">
            <v>ESCOBILLONES DE CERDAS PARA LAVAR TUBOS DE ENSAYE Y FRASCOS CON LONGITUD DE 12.5CM Y LONGITUD TOTAL 20 CM. DIAMETRO. 1.2 CM.</v>
          </cell>
          <cell r="U3435">
            <v>11202</v>
          </cell>
          <cell r="V3435">
            <v>28004</v>
          </cell>
        </row>
        <row r="3436">
          <cell r="A3436">
            <v>3433</v>
          </cell>
          <cell r="B3436" t="str">
            <v>080.382.0265</v>
          </cell>
          <cell r="E3436" t="str">
            <v>ESCOBILLONES DE CERDAS PARA LAVAR TUBOS DE ENSAYE Y FRASCOS, CON LONGITUD DE12.5 CM Y LONGITUD TOTAL 27.5 CM. DIAMETRO 1.2 CM.</v>
          </cell>
          <cell r="U3436">
            <v>878</v>
          </cell>
          <cell r="V3436">
            <v>2193</v>
          </cell>
        </row>
        <row r="3437">
          <cell r="A3437">
            <v>3434</v>
          </cell>
          <cell r="B3437" t="str">
            <v>080.382.0273</v>
          </cell>
          <cell r="E3437" t="str">
            <v>ESCOBILLONES DE CERDAS PARA LAVAR TUBOS DE ENSAYE Y FRASCOS, CON LONGITUD DE12.5 CM Y LONGITUD TOTAL 20 CM. DIAMETRO 1.9 CM.</v>
          </cell>
          <cell r="U3437">
            <v>710</v>
          </cell>
          <cell r="V3437">
            <v>1773</v>
          </cell>
        </row>
        <row r="3438">
          <cell r="A3438">
            <v>3435</v>
          </cell>
          <cell r="B3438" t="str">
            <v>080.382.0299</v>
          </cell>
          <cell r="E3438" t="str">
            <v>ESCOBILLONES. DE CERDAS PARA LAVAR TUBOS DE ENSAYE Y FRASCOS, CON LONGITUD DE12.5CM Y LONGITUD TOTAL 20 CM. DIAMETRO 3.5 CM.</v>
          </cell>
          <cell r="U3438">
            <v>3736</v>
          </cell>
          <cell r="V3438">
            <v>9339</v>
          </cell>
        </row>
        <row r="3439">
          <cell r="A3439">
            <v>3436</v>
          </cell>
          <cell r="B3439" t="str">
            <v>080.414.0077</v>
          </cell>
          <cell r="E3439" t="str">
            <v>SUSTANCIAS BIOLOGICAS. FACTOR REUMATOIDE. EQUIPO PARA SU DETERMINACION EN SUERO,COMPUESTO DE: ANTIGENO ADSORBIDO A PARTICULAS DE LATEX. 5 ML. SUERO CONTROLPOSITIVO Y NEGATIVO. PLACA DE REACCION. EQUIPO PARA 100 PRUEBAS. RTC.</v>
          </cell>
          <cell r="U3439">
            <v>5941</v>
          </cell>
          <cell r="V3439">
            <v>14851</v>
          </cell>
        </row>
        <row r="3440">
          <cell r="A3440">
            <v>3437</v>
          </cell>
          <cell r="B3440" t="str">
            <v>080.414.0358</v>
          </cell>
          <cell r="E3440" t="str">
            <v>SUEROS PARA TIPIFICAR LA SANGRE, MEDIOS PROTEICOS, ENZIMAS Y ANTIGENOS. FICINA.ENZIMA PARA PRUEBAS CRUZADAS PRETRANSFUSIONALES. FRASCO CON 10 ML. RTC.</v>
          </cell>
          <cell r="U3440">
            <v>10</v>
          </cell>
          <cell r="V3440">
            <v>24</v>
          </cell>
        </row>
        <row r="3441">
          <cell r="A3441">
            <v>3438</v>
          </cell>
          <cell r="B3441" t="str">
            <v>080.414.1455</v>
          </cell>
          <cell r="E3441" t="str">
            <v>SUSTANCIAS BIOLOGICAS. GONADOTROFINA CORIONICA. PRUEBA INMUNOLOGICA EN PLACAPARA SU INVESTIGACION CUALITATIVA EN ORINA. SENSIBILIDAD DEBE SER CAPAZ DEDETECTAR 25 A 1000 UI/L. EQUIPO PARA 60 PRUEBAS. RTC.</v>
          </cell>
          <cell r="U3441">
            <v>152</v>
          </cell>
          <cell r="V3441">
            <v>380</v>
          </cell>
        </row>
        <row r="3442">
          <cell r="A3442">
            <v>3439</v>
          </cell>
          <cell r="B3442" t="str">
            <v>080.414.1463</v>
          </cell>
          <cell r="E3442" t="str">
            <v>SUSTANCIAS BIOLOGICAS GONADOTROFINA CORIONICA. PRUEBA INMUNOLOGICA EN PLACA PARASU INVESTIGACION CUALITATIVA EN ORINA. SENSIBILIDAD DEBE SER CAPAZ DE DETECTAR25 A 1000 UI/L. EQUIPO PARA 100 PRUEBAS. RTC.</v>
          </cell>
          <cell r="U3442">
            <v>202</v>
          </cell>
          <cell r="V3442">
            <v>504</v>
          </cell>
        </row>
        <row r="3443">
          <cell r="A3443">
            <v>3440</v>
          </cell>
          <cell r="B3443" t="str">
            <v>080.414.1505</v>
          </cell>
          <cell r="E3443" t="str">
            <v>SUSTANCIAS BIOLOGICAS. PROTEINA C REACTIVA. EQUIPO PARA INVESTIGAR PORAGLUTINACION DE PARTICULAS DE LATEX. ESTANDARIZADA. COMPUESTO DE: SUERO CONTROLPOSITIVO Y NEGATIVO. PLACA DE REACCION. ANTISUERO ADSORBIDO A PARTICULAS DELATEX. 2 ML. RTC.</v>
          </cell>
          <cell r="U3443">
            <v>9857</v>
          </cell>
          <cell r="V3443">
            <v>24641</v>
          </cell>
        </row>
        <row r="3444">
          <cell r="A3444">
            <v>3441</v>
          </cell>
          <cell r="B3444" t="str">
            <v>080.414.4889</v>
          </cell>
          <cell r="E3444" t="str">
            <v>SUSTANCIAS BIOLOGICAS, ANTIGENOS, SUEROS. EXTRACTO ALERGENICO DE ACARODERMATOPHAGOIDES PTERONYSSINUS PARA PRUEBAS CUTANEAS E INMUNOTERAPIA. SOLUCIONESTERIL CON 10,000 UNIDADES ALERGICAS/ML CON GLICERINA AL 50%. FRASCO GOTEROCON: 5 ML.</v>
          </cell>
          <cell r="U3444">
            <v>7112</v>
          </cell>
          <cell r="V3444">
            <v>17778</v>
          </cell>
        </row>
        <row r="3445">
          <cell r="A3445">
            <v>3442</v>
          </cell>
          <cell r="B3445" t="str">
            <v>080.414.4897</v>
          </cell>
          <cell r="E3445" t="str">
            <v>SUSTANCIAS BIOLOGICAS, ANTIGENOS, SUEROS. EXTRACTO ALERGENICO DE ACARODERMATOPHAGOIDES PTERONYSSINUS PARA PRUEBAS CUTANEAS E INMUNOTERAPIA. SOLUCIONESTERIL CON 10,000 UNIDADES ALERGICAS/ML CON GLICERINA AL 50%. FRASCO GOTEROCON: 10 ML.</v>
          </cell>
          <cell r="U3445">
            <v>6412</v>
          </cell>
          <cell r="V3445">
            <v>16026</v>
          </cell>
        </row>
        <row r="3446">
          <cell r="A3446">
            <v>3443</v>
          </cell>
          <cell r="B3446" t="str">
            <v>080.421.0581</v>
          </cell>
          <cell r="E3446" t="str">
            <v>FILTROS. DE ACETATO DE CELULOSA, TAMAÑO DEL PORO 0.45 MICRAS PARA SISTEMA DEFILTRACION EN FRASCO CON 250 ML. CAJA CON 12 PIEZAS.</v>
          </cell>
          <cell r="U3446">
            <v>28</v>
          </cell>
          <cell r="V3446">
            <v>70</v>
          </cell>
        </row>
        <row r="3447">
          <cell r="A3447">
            <v>3444</v>
          </cell>
          <cell r="B3447" t="str">
            <v>080.421.0599</v>
          </cell>
          <cell r="E3447" t="str">
            <v>FILTROS. DE ACETATO DE CELULOSA, TAMAÑO DEL PORO 0.45 MICRAS PARA SISTEMA DEFILTRACION EN FRASCO CON 500 ML. CAJA CON 12 PIEZAS.</v>
          </cell>
          <cell r="U3447">
            <v>88</v>
          </cell>
          <cell r="V3447">
            <v>218</v>
          </cell>
        </row>
        <row r="3448">
          <cell r="A3448">
            <v>3445</v>
          </cell>
          <cell r="B3448" t="str">
            <v>080.421.0631</v>
          </cell>
          <cell r="E3448" t="str">
            <v>FILTROS. PARA LEUCORREDUCIR UNA UNIDAD DE SANGRE TOTAL O PAQUETE GLOBULAR CONUNA MEDIDA DE LEUCOCITOS RESIDUALES CONSISTENTEMENTE INFERIOR A 500,000 PORUNIDAD DE FLUJO RAPIDO. PIEZA.</v>
          </cell>
          <cell r="U3448">
            <v>11040</v>
          </cell>
          <cell r="V3448">
            <v>27598</v>
          </cell>
        </row>
        <row r="3449">
          <cell r="A3449">
            <v>3446</v>
          </cell>
          <cell r="B3449" t="str">
            <v>080.421.0656</v>
          </cell>
          <cell r="E3449" t="str">
            <v>FILTROS. PARA LEUCORREDUCIR CONCENTRADOS PLAQUETARIOS CON UNA MEDIDA DELEUCOCITOS RESIDUALES CONSISTENTEMENTE INFERIOR A 500,000, DURANTE LATRANSFUSION (PARA 3 A 8 UNIDADES). PIEZA. PARA USO EN BANCO DE SANGRE.</v>
          </cell>
          <cell r="U3449">
            <v>656</v>
          </cell>
          <cell r="V3449">
            <v>1640</v>
          </cell>
        </row>
        <row r="3450">
          <cell r="A3450">
            <v>3447</v>
          </cell>
          <cell r="B3450" t="str">
            <v>080.431.0043</v>
          </cell>
          <cell r="E3450" t="str">
            <v>FRASCOS. DE VIDRIO TRANSPARENTE, CON BOCA ANCHA Y TAPA DE ROSCA DE PLASTICO.CAPACIDAD: 1 LITRO. PIEZA.</v>
          </cell>
          <cell r="U3450">
            <v>22738</v>
          </cell>
          <cell r="V3450">
            <v>56844</v>
          </cell>
        </row>
        <row r="3451">
          <cell r="A3451">
            <v>3448</v>
          </cell>
          <cell r="B3451" t="str">
            <v>080.431.0159</v>
          </cell>
          <cell r="E3451" t="str">
            <v>FRASCOS. AMBAR, CON BOCA ANCHA Y TAPA DE ROSCA DE PLASTICO. CAPACIDAD: 115 ML.PIEZA.</v>
          </cell>
          <cell r="U3451">
            <v>173541</v>
          </cell>
          <cell r="V3451">
            <v>433849</v>
          </cell>
        </row>
        <row r="3452">
          <cell r="A3452">
            <v>3449</v>
          </cell>
          <cell r="B3452" t="str">
            <v>080.431.0233</v>
          </cell>
          <cell r="E3452" t="str">
            <v>FRASCOS DE POLIETILENO CON TUBO LATERAL PIZETA. PARA EXPULSAR LÍQUIDOS A PRESIÓN AFORAR LAVAR TEÑIR ETC. PARA VOLÚMENES DE: 500 ML.</v>
          </cell>
          <cell r="U3452">
            <v>3198</v>
          </cell>
          <cell r="V3452">
            <v>7993</v>
          </cell>
        </row>
        <row r="3453">
          <cell r="A3453">
            <v>3450</v>
          </cell>
          <cell r="B3453" t="str">
            <v>080.431.1033</v>
          </cell>
          <cell r="E3453" t="str">
            <v>FRASCOS. CILINDRICO, DE BOCA ANCHA, DE VIDRIO NO REFRACTARIO, CON 125 ML DECAPACIDAD. PARA RECOLECTAR ESPECIMENES. CON TAPA DE PLASTICO. CAJA CON 100 YMAXIMO 250 PIEZAS.</v>
          </cell>
          <cell r="U3453">
            <v>39940</v>
          </cell>
          <cell r="V3453">
            <v>99849</v>
          </cell>
        </row>
        <row r="3454">
          <cell r="A3454">
            <v>3451</v>
          </cell>
          <cell r="B3454" t="str">
            <v>080.431.1397</v>
          </cell>
          <cell r="E3454" t="str">
            <v>FRASCOS. DE POLIETILENO, CON TUBO LATERAL, PIZETA. PARA EXPULSAR LIQUIDOS APRESION, AFORAR, LAVAR, TEÑIR, ETC. PARA VOLUMENES DE: 125 ML.</v>
          </cell>
          <cell r="U3454">
            <v>45</v>
          </cell>
          <cell r="V3454">
            <v>111</v>
          </cell>
        </row>
        <row r="3455">
          <cell r="A3455">
            <v>3452</v>
          </cell>
          <cell r="B3455" t="str">
            <v>080.435.0023</v>
          </cell>
          <cell r="E3455" t="str">
            <v>FRASCOS. FRASCO GOTERO DE VIDRIO DE COLOR AMBAR, CON CAPACIDAD DE 5 ML, PARAENVASAR LOS GLOBULOS ROJOS DE FENOTIPO CONOCIDO. PIEZA.</v>
          </cell>
          <cell r="U3455">
            <v>49</v>
          </cell>
          <cell r="V3455">
            <v>119</v>
          </cell>
        </row>
        <row r="3456">
          <cell r="A3456">
            <v>3453</v>
          </cell>
          <cell r="B3456" t="str">
            <v>080.560.0137</v>
          </cell>
          <cell r="E3456" t="str">
            <v>JERINGAS. DESECHABLE DE 3 ML. ESTERIL CON HEPARINA PARA OBTENCION DE SANGREARTERIAL, CON TAPON PARA LA AGUJA Y TAPON PARA LA JERINGA. AGUJA DE 20 G X 38MM. PIEZA.</v>
          </cell>
          <cell r="U3456">
            <v>4853</v>
          </cell>
          <cell r="V3456">
            <v>12131</v>
          </cell>
        </row>
        <row r="3457">
          <cell r="A3457">
            <v>3454</v>
          </cell>
          <cell r="B3457" t="str">
            <v>080.560.0145</v>
          </cell>
          <cell r="E3457" t="str">
            <v>JERINGAS. DESECHABLE DE 3 ML. ESTERIL CON HEPARINA PARA OBTENCION DE SANGREARTERIAL CON TAPON PARA LA AGUJA Y TAPON PARA LA JERINGA. AGUJA DE 23 G X 25 MM.PIEZA.</v>
          </cell>
          <cell r="U3457">
            <v>45678</v>
          </cell>
          <cell r="V3457">
            <v>114192</v>
          </cell>
        </row>
        <row r="3458">
          <cell r="A3458">
            <v>3455</v>
          </cell>
          <cell r="B3458" t="str">
            <v>080.560.0152</v>
          </cell>
          <cell r="E3458" t="str">
            <v>JERINGAS. DESECHABLE, ESTERIL, DE 1 ML. CON HEPARINA, PARA LA OBTENCION DESANGRE ARTERIAL, CON TAPON PARA LA AGUJA Y TAPON PARA LA JERINGA. AGUJA DE 25 GX 15 MM Y 16 MM. PIEZA.</v>
          </cell>
          <cell r="U3458">
            <v>315699</v>
          </cell>
          <cell r="V3458">
            <v>789245</v>
          </cell>
        </row>
        <row r="3459">
          <cell r="A3459">
            <v>3456</v>
          </cell>
          <cell r="B3459" t="str">
            <v>080.574.0016</v>
          </cell>
          <cell r="E3459" t="str">
            <v>Lancetas Metálica integrada a un cuerpo de plástico calibre 30 G. Y punta de 3.25 mm con protección individual. Uso manual o adaptable a disparador automático. Caja con 100 piezas.</v>
          </cell>
          <cell r="U3459">
            <v>220</v>
          </cell>
          <cell r="V3459">
            <v>546</v>
          </cell>
        </row>
        <row r="3460">
          <cell r="A3460">
            <v>3457</v>
          </cell>
          <cell r="B3460" t="str">
            <v>080.574.0032</v>
          </cell>
          <cell r="E3460" t="str">
            <v>LANCETAS. LANCETA DE RETRACCION AUTOMATICA Y PERMANENTE. INCISION DE 1.8 A 2.0MM INTEGRADA A UN DISPARADOR DE PLASTICO; CON DISPOSITIVO PLASTICO REMOVIBLE QUEASEGURE LA ESTERILIDAD. ESTERIL Y DESECHABLE. CAJA CON 100 Y SUS MULTIPLOS.</v>
          </cell>
          <cell r="U3460">
            <v>14590</v>
          </cell>
          <cell r="V3460">
            <v>36472</v>
          </cell>
        </row>
        <row r="3461">
          <cell r="A3461">
            <v>3458</v>
          </cell>
          <cell r="B3461" t="str">
            <v>080.574.0164</v>
          </cell>
          <cell r="E3461" t="str">
            <v>LANCETAS. METALICAS, ESTERILES, DESECHABLES, CON ENVOLTURA INDIVIDUAL: PUNTA DE3 MM DE LONGITUD. PARA PUNCION QUE MIDE EL TIEMPO DE SANGRADO. CAJA CON 250PIEZAS.</v>
          </cell>
          <cell r="U3461">
            <v>1306</v>
          </cell>
          <cell r="V3461">
            <v>3263</v>
          </cell>
        </row>
        <row r="3462">
          <cell r="A3462">
            <v>3459</v>
          </cell>
          <cell r="B3462" t="str">
            <v>080.574.0222</v>
          </cell>
          <cell r="E3462" t="str">
            <v>LANCETAS. METALICA CON CUCHILLA RECTANGULAR Y PROFUNDIDAD DE INCISION A 2.2 MM,INTEGRADA A UN DISPARADOR DE PLASTICO RETRACTIL CON PROTECCION INDIVIDUAL,ESTERIL, DESECHABLE. CAJA CON 50 PIEZAS.</v>
          </cell>
          <cell r="U3462">
            <v>2258</v>
          </cell>
          <cell r="V3462">
            <v>5642</v>
          </cell>
        </row>
        <row r="3463">
          <cell r="A3463">
            <v>3460</v>
          </cell>
          <cell r="B3463" t="str">
            <v>080.583.0106</v>
          </cell>
          <cell r="E3463" t="str">
            <v>Lápices Marcadores Grasos para escribir en vidrio en colores: Negro. Caja con 12 piezas.</v>
          </cell>
          <cell r="U3463">
            <v>4441</v>
          </cell>
          <cell r="V3463">
            <v>11101</v>
          </cell>
        </row>
        <row r="3464">
          <cell r="A3464">
            <v>3461</v>
          </cell>
          <cell r="B3464" t="str">
            <v>080.583.0155</v>
          </cell>
          <cell r="E3464" t="str">
            <v>Lápices Marcadores Para marcar vidrio o porcelana. Con punta de carburo de tungsteno. Pieza.</v>
          </cell>
          <cell r="U3464">
            <v>110808</v>
          </cell>
          <cell r="V3464">
            <v>277018</v>
          </cell>
        </row>
        <row r="3465">
          <cell r="A3465">
            <v>3462</v>
          </cell>
          <cell r="B3465" t="str">
            <v>080.592.0014</v>
          </cell>
          <cell r="E3465" t="str">
            <v>DETERGENTES PARA LAVADO DE MATERIAL DE VIDRIO, PLÁSTICO Y PORCELANA CON ELIMINACIÓN COMPLETA DE TRAZAS Y RESIDUOS BIODEGRADABLE NEUTRO. ENVASE CON 4 LITROS.</v>
          </cell>
          <cell r="U3465">
            <v>11078</v>
          </cell>
          <cell r="V3465">
            <v>27692</v>
          </cell>
        </row>
        <row r="3466">
          <cell r="A3466">
            <v>3463</v>
          </cell>
          <cell r="B3466" t="str">
            <v>080.602.0426</v>
          </cell>
          <cell r="E3466" t="str">
            <v>MATRACES. DE VIDRIO REFRACTARIO, CON GRADUACION APROXIMADA Y CON LABIO TIPOERLENMEYER. PARA VOLUMENES DE: 50 ML.</v>
          </cell>
          <cell r="U3466">
            <v>368</v>
          </cell>
          <cell r="V3466">
            <v>920</v>
          </cell>
        </row>
        <row r="3467">
          <cell r="A3467">
            <v>3464</v>
          </cell>
          <cell r="B3467" t="str">
            <v>080.602.0541</v>
          </cell>
          <cell r="E3467" t="str">
            <v>MATRACES. DE VIDRIO REFRACTARIO, CON GRADUACION APROXIMADA Y CON LABIO TIPOERLENMEYER. PARA VOLUMENES DE: 1000 ML. PIEZA.</v>
          </cell>
          <cell r="U3467">
            <v>2248</v>
          </cell>
          <cell r="V3467">
            <v>5618</v>
          </cell>
        </row>
        <row r="3468">
          <cell r="A3468">
            <v>3465</v>
          </cell>
          <cell r="B3468" t="str">
            <v>080.602.0921</v>
          </cell>
          <cell r="E3468" t="str">
            <v>MATRACES ESPECIALES PARA MEDICION EXACTA, VOLUMETRICO. DE VIDRIO REFRACTARIO,CUELLO LARGO, BOCA ANGOSTA CON TAPON ESMERILADO. PARA VOLUMENES DE: 500 ML.PIEZA.</v>
          </cell>
          <cell r="U3468">
            <v>1596</v>
          </cell>
          <cell r="V3468">
            <v>3987</v>
          </cell>
        </row>
        <row r="3469">
          <cell r="A3469">
            <v>3466</v>
          </cell>
          <cell r="B3469" t="str">
            <v>080.610.0012</v>
          </cell>
          <cell r="E3469" t="str">
            <v>MEDIOS DE CULTIVO. MEDIO R.P.M.I 1640. CON L-GLUTAMINA. POLVO LIOFILIZADO. SOBREPARA 1000 ML. CAJA CON 50 SOBRES. RTC.</v>
          </cell>
          <cell r="U3469">
            <v>140</v>
          </cell>
          <cell r="V3469">
            <v>346</v>
          </cell>
        </row>
        <row r="3470">
          <cell r="A3470">
            <v>3467</v>
          </cell>
          <cell r="B3470" t="str">
            <v>080.610.0079</v>
          </cell>
          <cell r="E3470" t="str">
            <v>MEDIOS DE CULTIVO, MEDIOS ESPECIALES. MEDIO DE TRANSPORTE AGAR (STUART). PARACONSERVAR ESPECIMENES PRINCIPALMENTE CUANDO SE SOSPECHA LA PRESENCIA DEGONOCOCO. FRASCO CON 450 G. TA.</v>
          </cell>
          <cell r="U3470">
            <v>1143</v>
          </cell>
          <cell r="V3470">
            <v>2857</v>
          </cell>
        </row>
        <row r="3471">
          <cell r="A3471">
            <v>3468</v>
          </cell>
          <cell r="B3471" t="str">
            <v>080.610.0129</v>
          </cell>
          <cell r="E3471" t="str">
            <v>MEDIOS DE CULTIVO, AGAR. AGAR SAL Y MANITOL. PARA EL AISLAMIENTO DESTAPHYLOCOCCUS PATOGENOS. FRASCO CON 450 G. TA.</v>
          </cell>
          <cell r="U3471">
            <v>1141</v>
          </cell>
          <cell r="V3471">
            <v>2850</v>
          </cell>
        </row>
        <row r="3472">
          <cell r="A3472">
            <v>3469</v>
          </cell>
          <cell r="B3472" t="str">
            <v>080.610.0186</v>
          </cell>
          <cell r="E3472" t="str">
            <v>MEDIOS DE CULTIVO, AGAR. AGAR CASMAN. FRASCO CON 450 G. TA.</v>
          </cell>
          <cell r="U3472">
            <v>158</v>
          </cell>
          <cell r="V3472">
            <v>394</v>
          </cell>
        </row>
        <row r="3473">
          <cell r="A3473">
            <v>3470</v>
          </cell>
          <cell r="B3473" t="str">
            <v>080.610.0194</v>
          </cell>
          <cell r="E3473" t="str">
            <v>MEDIOS DE CULTIVO, CALDOS. CALDO SELENITO DE SODIO. UTIL PARA EL AISLAMIENTO DEENTEROBACTERIAS PRINCIPALMENTE SALMONELLA. FRASCO CON 450 G. TA.</v>
          </cell>
          <cell r="U3473">
            <v>174</v>
          </cell>
          <cell r="V3473">
            <v>431</v>
          </cell>
        </row>
        <row r="3474">
          <cell r="A3474">
            <v>3471</v>
          </cell>
          <cell r="B3474" t="str">
            <v>080.610.0210</v>
          </cell>
          <cell r="E3474" t="str">
            <v>MEDIOS DE CULTIVO, CALDOS. CALDO DE CULTIVO PARA AISLAR BACTERIAS AEROBICAS ENSANGRE. EN FRASCO AL VACIO PARA 20 ML. Y UNIDAD VENTILADORA (PEDIATRICO). JUEGO.</v>
          </cell>
          <cell r="U3474">
            <v>3944</v>
          </cell>
          <cell r="V3474">
            <v>9856</v>
          </cell>
        </row>
        <row r="3475">
          <cell r="A3475">
            <v>3472</v>
          </cell>
          <cell r="B3475" t="str">
            <v>080.610.0269</v>
          </cell>
          <cell r="E3475" t="str">
            <v>MEDIOS DE CULTIVO, AGAR. AGAR LISINA Y HIERRO (LIA). FRASCO CON 450 G. TA.</v>
          </cell>
          <cell r="U3475">
            <v>218</v>
          </cell>
          <cell r="V3475">
            <v>542</v>
          </cell>
        </row>
        <row r="3476">
          <cell r="A3476">
            <v>3473</v>
          </cell>
          <cell r="B3476" t="str">
            <v>080.610.0533</v>
          </cell>
          <cell r="E3476" t="str">
            <v>MEDIOS DE CULTIVO AGAR. AGAR NUTRITIVO. MEDIO DE CULTIVO SIMPLE PARA ELAISLAMIENTO DE MICROORGANISMOS CON POCAS EXIGENCIAS NUTRITIVAS. FRASCO CON 450G. TA.</v>
          </cell>
          <cell r="U3476">
            <v>98</v>
          </cell>
          <cell r="V3476">
            <v>242</v>
          </cell>
        </row>
        <row r="3477">
          <cell r="A3477">
            <v>3474</v>
          </cell>
          <cell r="B3477" t="str">
            <v>080.610.0574</v>
          </cell>
          <cell r="E3477" t="str">
            <v>MEDIOS DE CULTIVO, AGAR. AGAR SULFITO DE BISMUTO. AISLAMIENTO DE SALMONELLATYPHI. FRASCO CON 450 G. TA.</v>
          </cell>
          <cell r="U3477">
            <v>72</v>
          </cell>
          <cell r="V3477">
            <v>177</v>
          </cell>
        </row>
        <row r="3478">
          <cell r="A3478">
            <v>3475</v>
          </cell>
          <cell r="B3478" t="str">
            <v>080.610.0608</v>
          </cell>
          <cell r="E3478" t="str">
            <v>MEDIOS DE CULTIVO, AGAR. AGAR TERGITOL 7. MEDIO SELECTIVO DE ORGANISMOSCOLIFORMES. FRASCO CON 450 G. TA.</v>
          </cell>
          <cell r="U3478">
            <v>2</v>
          </cell>
          <cell r="V3478">
            <v>4</v>
          </cell>
        </row>
        <row r="3479">
          <cell r="A3479">
            <v>3476</v>
          </cell>
          <cell r="B3479" t="str">
            <v>080.610.0640</v>
          </cell>
          <cell r="E3479" t="str">
            <v>MEDIOS DE CULTIVO. MEDIO MC COY 5 A. FRASCO CON 100 ML. RTC.</v>
          </cell>
          <cell r="U3479">
            <v>390</v>
          </cell>
          <cell r="V3479">
            <v>972</v>
          </cell>
        </row>
        <row r="3480">
          <cell r="A3480">
            <v>3477</v>
          </cell>
          <cell r="B3480" t="str">
            <v>080.610.0681</v>
          </cell>
          <cell r="E3480" t="str">
            <v>SUSTANCIAS BIOLOGICAS, ANTIGENOS, SUEROS. TRIPSINA (EN POLVO) TIPO II. FRASCOCON 10 G. RTC</v>
          </cell>
          <cell r="U3480">
            <v>37</v>
          </cell>
          <cell r="V3480">
            <v>89</v>
          </cell>
        </row>
        <row r="3481">
          <cell r="A3481">
            <v>3478</v>
          </cell>
          <cell r="B3481" t="str">
            <v>080.610.0889</v>
          </cell>
          <cell r="E3481" t="str">
            <v>MEDIOS DE CULTIVO, CALDOS. CALDO SELECTIVO PARA STREPTOCOCCUS. FRASCO CON 450 G.TA.</v>
          </cell>
          <cell r="U3481">
            <v>32</v>
          </cell>
          <cell r="V3481">
            <v>80</v>
          </cell>
        </row>
        <row r="3482">
          <cell r="A3482">
            <v>3479</v>
          </cell>
          <cell r="B3482" t="str">
            <v>080.610.0962</v>
          </cell>
          <cell r="E3482" t="str">
            <v>MEDIOS DE CULTIVO AGAR. AGAR EOSINA-AZUL DE METILENO. MEDIO SELECTIVO YDIFERENCIAL PARA ENTEROBACTERIAS LACTOSA POSITIVAS. FRASCO CON 450 G. TA.</v>
          </cell>
          <cell r="U3482">
            <v>492</v>
          </cell>
          <cell r="V3482">
            <v>1227</v>
          </cell>
        </row>
        <row r="3483">
          <cell r="A3483">
            <v>3480</v>
          </cell>
          <cell r="B3483" t="str">
            <v>080.610.0996</v>
          </cell>
          <cell r="E3483" t="str">
            <v>MEDIOS DE CULTIVO, CALDOS. CALDO DE LACTOSA, ADICIONADO DE MUG. FRASCO CON 500G. TA.</v>
          </cell>
          <cell r="U3483">
            <v>78</v>
          </cell>
          <cell r="V3483">
            <v>192</v>
          </cell>
        </row>
        <row r="3484">
          <cell r="A3484">
            <v>3481</v>
          </cell>
          <cell r="B3484" t="str">
            <v>080.610.1010</v>
          </cell>
          <cell r="E3484" t="str">
            <v>MEDIOS DE CULTIVO, AGAR. AGAR FENILALANINA. MEDIO DIFERENCIAL PARAENTEROBACTERIAS PRODUCTORAS DE ACIDO FENILPIRUVICO. FRASCO CON 450 G. TA.</v>
          </cell>
          <cell r="U3484">
            <v>52</v>
          </cell>
          <cell r="V3484">
            <v>126</v>
          </cell>
        </row>
        <row r="3485">
          <cell r="A3485">
            <v>3482</v>
          </cell>
          <cell r="B3485" t="str">
            <v>080.610.1044</v>
          </cell>
          <cell r="E3485" t="str">
            <v>MEDIOS DE CULTIVO, CALDOS. CALDO DE BILIS, ROJO VIOLETA. FRASCO CON 500 G. TA.</v>
          </cell>
          <cell r="U3485">
            <v>52</v>
          </cell>
          <cell r="V3485">
            <v>126</v>
          </cell>
        </row>
        <row r="3486">
          <cell r="A3486">
            <v>3483</v>
          </cell>
          <cell r="B3486" t="str">
            <v>080.610.1085</v>
          </cell>
          <cell r="E3486" t="str">
            <v>MEDIOS DE CULTIVO, AGAR. AGAR G.C. MEDIO DE CULTIVO SELECTIVO PARA NEISSERIA,ENRIQUECIDO CON SANGRE O HEMOGLOBINA Y SUPLEMENTO NUTRITIVO. FRASCO CON 450 G.TA.</v>
          </cell>
          <cell r="U3486">
            <v>139</v>
          </cell>
          <cell r="V3486">
            <v>346</v>
          </cell>
        </row>
        <row r="3487">
          <cell r="A3487">
            <v>3484</v>
          </cell>
          <cell r="B3487" t="str">
            <v>080.610.1093</v>
          </cell>
          <cell r="E3487" t="str">
            <v>MEDIOS DE CULTIVO, AGAR. AGAR BAIRD PARKER. FRASCO CON 500 G. TA.</v>
          </cell>
          <cell r="U3487">
            <v>13</v>
          </cell>
          <cell r="V3487">
            <v>32</v>
          </cell>
        </row>
        <row r="3488">
          <cell r="A3488">
            <v>3485</v>
          </cell>
          <cell r="B3488" t="str">
            <v>080.610.1168</v>
          </cell>
          <cell r="E3488" t="str">
            <v>MEDIOS DE CULTIVO, PLACAS. AGAR PARA CUENTA ESTANDAR. PLACA CON 12 POZOS. PIEZA.RTC.</v>
          </cell>
          <cell r="U3488">
            <v>88</v>
          </cell>
          <cell r="V3488">
            <v>220</v>
          </cell>
        </row>
        <row r="3489">
          <cell r="A3489">
            <v>3486</v>
          </cell>
          <cell r="B3489" t="str">
            <v>080.610.1200</v>
          </cell>
          <cell r="E3489" t="str">
            <v>MEDIOS DE CULTIVO AGAR. AGAR BASE SANGRE PARA AISLAR E INVESTIGAR LA ACTIVIDADHEMOLITICA DE MICROORGANISMOS. FRASCO CON 450 G. TA.</v>
          </cell>
          <cell r="U3489">
            <v>1018</v>
          </cell>
          <cell r="V3489">
            <v>2543</v>
          </cell>
        </row>
        <row r="3490">
          <cell r="A3490">
            <v>3487</v>
          </cell>
          <cell r="B3490" t="str">
            <v>080.610.1218</v>
          </cell>
          <cell r="E3490" t="str">
            <v>MEDIOS DE CULTIVO, SUPLEMENTOS. HEMOGLOBINA. COMPLEMENTO DE MEDIOS DE CULTIVOPARA FAVORECER EL CRECIMIENTO DE MICROORGANISMOS DEL GENERO NEISSERIA. FRASCOCON 450 G. TA.</v>
          </cell>
          <cell r="U3490">
            <v>28</v>
          </cell>
          <cell r="V3490">
            <v>68</v>
          </cell>
        </row>
        <row r="3491">
          <cell r="A3491">
            <v>3488</v>
          </cell>
          <cell r="B3491" t="str">
            <v>080.610.1267</v>
          </cell>
          <cell r="E3491" t="str">
            <v>MEDIOS DE CULTIVO, AGAR. AGAR INDOL NITRITO. PARA LA IDENTIFICACION DEMICROORGANISMOS QUE REDUCEN LOS NITRATOS Y PRODUCEN INDOL. FRASCO CON 450 G. TA.</v>
          </cell>
          <cell r="U3491">
            <v>10</v>
          </cell>
          <cell r="V3491">
            <v>24</v>
          </cell>
        </row>
        <row r="3492">
          <cell r="A3492">
            <v>3489</v>
          </cell>
          <cell r="B3492" t="str">
            <v>080.610.1317</v>
          </cell>
          <cell r="E3492" t="str">
            <v>MEDIOS DE CULTIVO, MEDIOS ESPECIALES. MEDIO INFUSION CEREBRO Y CORAZON. MEDIOENRIQUECIDO PARA MICROORGANISMOS CON NUMEROSOS REQUERIMIENTOS NUTRITIVOS. FRASCOCON 450 G. TA.</v>
          </cell>
          <cell r="U3492">
            <v>645</v>
          </cell>
          <cell r="V3492">
            <v>1612</v>
          </cell>
        </row>
        <row r="3493">
          <cell r="A3493">
            <v>3490</v>
          </cell>
          <cell r="B3493" t="str">
            <v>080.610.1333</v>
          </cell>
          <cell r="E3493" t="str">
            <v>MEDIOS DE CULTIVO, AGAR. AGAR KLIGLER (CON HIERRO). PARA LAS PRUEBAS BIOQUIMICASDE ENTEROBACTERIAS Y CARACTERIZAR SU FERMENTACION DE LA GLUCOSA Y LA LACTOSA OLA PRODUCCION DE ACIDO SULFHIDRICO. FRASCO CON 450 G. TA.</v>
          </cell>
          <cell r="U3493">
            <v>218</v>
          </cell>
          <cell r="V3493">
            <v>543</v>
          </cell>
        </row>
        <row r="3494">
          <cell r="A3494">
            <v>3491</v>
          </cell>
          <cell r="B3494" t="str">
            <v>080.610.1366</v>
          </cell>
          <cell r="E3494" t="str">
            <v>MEDIOS DE CULTIVO, COMPLEMENTOS. LACTOSA PARA AÑADIR A MEDIOS DE CULTIVO. POLVO.FRASCO CON 450 G. TA.</v>
          </cell>
          <cell r="U3494">
            <v>2</v>
          </cell>
          <cell r="V3494">
            <v>2</v>
          </cell>
        </row>
        <row r="3495">
          <cell r="A3495">
            <v>3492</v>
          </cell>
          <cell r="B3495" t="str">
            <v>080.610.1382</v>
          </cell>
          <cell r="E3495" t="str">
            <v>MEDIOS DE CULTIVO, MEDIOS ESPECIALES. MEDIO ENRIQUECIDO CON FACTORES DECRECIMIENTO PARA GERMENES DE CULTIVO DIFICIL. CAJA CON 12. RTC.</v>
          </cell>
          <cell r="U3495">
            <v>46</v>
          </cell>
          <cell r="V3495">
            <v>112</v>
          </cell>
        </row>
        <row r="3496">
          <cell r="A3496">
            <v>3493</v>
          </cell>
          <cell r="B3496" t="str">
            <v>080.610.1432</v>
          </cell>
          <cell r="E3496" t="str">
            <v>MEDIOS DE CULTIVO, AGAR. AGAR-UREA CHRISTENSEN (BASE). FRASCO CON 500 G. TA.</v>
          </cell>
          <cell r="U3496">
            <v>108</v>
          </cell>
          <cell r="V3496">
            <v>270</v>
          </cell>
        </row>
        <row r="3497">
          <cell r="A3497">
            <v>3494</v>
          </cell>
          <cell r="B3497" t="str">
            <v>080.610.1440</v>
          </cell>
          <cell r="E3497" t="str">
            <v>MEDIOS DE CULTIVO, PLACAS. PLACA DE AGAR DE SAL Y MANITOL DESECHABLE, ESTERIL DEPOLIESTIRENO CRISTAL DE 92 MM DE DIAMETRO, CON 18 ML DE MEDIO HIDRATADO.APILABLE, CON IDENTIFICACION IMPRESA INDIVIDUAL. BOLSA ESTERIL DE PVDCPOLIPROPILENO SELLADA AL CALOR CON ETIQUETA DE IDENTIFICACION. CADUCIDAD 12SEMANAS. PLACA. RTC.</v>
          </cell>
          <cell r="U3497">
            <v>41621</v>
          </cell>
          <cell r="V3497">
            <v>104051</v>
          </cell>
        </row>
        <row r="3498">
          <cell r="A3498">
            <v>3495</v>
          </cell>
          <cell r="B3498" t="str">
            <v>080.610.1465</v>
          </cell>
          <cell r="E3498" t="str">
            <v>MEDIOS DE CULTIVO, PLACAS. PLACA DE AGAR SANGRE CON AZIDA, DESECHABLE, ESTERILDE POLIESTIRENO CRISTAL DE 92 MM DE DIAMETRO, CON 18 ML DE MEDIO HIDRATADO CON5% DE SANGRE DESFIBRINADA DE CARNERO. APILABLE, CON DENTIFICACION IMPRESAINDIVIDUAL. BOLSA ESTERIL DE PVDC POLIPROPILENO SELLADA AL CALOR, CON ETIQUETADE IDENTIFICACION. CADUCIDAD 5 SEMANAS. PLACA. RTC.</v>
          </cell>
          <cell r="U3498">
            <v>23898</v>
          </cell>
          <cell r="V3498">
            <v>59742</v>
          </cell>
        </row>
        <row r="3499">
          <cell r="A3499">
            <v>3496</v>
          </cell>
          <cell r="B3499" t="str">
            <v>080.610.1481</v>
          </cell>
          <cell r="E3499" t="str">
            <v>MEDIOS DE CULTIVO, PLACAS. PLACA DE AGAR GELOSA CHOCOLATE, DESECHABLE, ESTERILDE POLIESTIRENO CRISTAL DE 92 MM DE DIAMETRO, CON 18 ML DE MEDIO HIDRATADO CON1% DE HEMOGLOBINA Y 1% DE SUPLEMENTO NUTRITIVO. APILABLE, CON IDENTIFICACIONIMPRESA INDIVIDUAL. BOLSA ESTERIL DE PVDC POLIPROPILENO SELLADA AL CALOR CONETIQUETA DE IDENTIFICACION. CADUCIDAD 14 SEMANAS. PLACA. RTC.</v>
          </cell>
          <cell r="U3499">
            <v>40965</v>
          </cell>
          <cell r="V3499">
            <v>102411</v>
          </cell>
        </row>
        <row r="3500">
          <cell r="A3500">
            <v>3497</v>
          </cell>
          <cell r="B3500" t="str">
            <v>080.610.1499</v>
          </cell>
          <cell r="E3500" t="str">
            <v>MEDIOS DE CULTIVO, PLACAS. PLACA DE THAYER MARTIN, DESECHABLE, ESTERIL DEPOLIESTIRENO CRISTAL DE 92 MM DE DIAMETRO, CON 18 ML DE MEDIO HIDRATADO CON 1%DE HEMOGLOBINA, 1% DE SUPLEMENTO NUTRITIVO Y 1% DE INHIBIDOR DE VCNT. APILABLECON IDENTIFICACION IMPRESA INDIVIDUAL. BOLSA ESTERIL DE PVDC POLIPROPILENOSELLADA AL CALOR CON ETIQUETA DE IDENTIFICACION. CADUCIDAD 14 SEMANAS. PLACA.RTC.</v>
          </cell>
          <cell r="U3500">
            <v>16644</v>
          </cell>
          <cell r="V3500">
            <v>41606</v>
          </cell>
        </row>
        <row r="3501">
          <cell r="A3501">
            <v>3498</v>
          </cell>
          <cell r="B3501" t="str">
            <v>080.610.1515</v>
          </cell>
          <cell r="E3501" t="str">
            <v>MEDIOS DE CULTIVO, PLACAS. PLACA DE AGAR SANGRE, DESECHABLE, ESTERIL DEPOLIESTIRENO CRISTAL DE 92 MM DE DIAMETRO, CON 18 ML DE MEDIO HIDRATADO CON 5%DE SANGRE DESFIBRINADA DE CARNERO. APILABLE, CON IDENTIFICACION IMPRESAINDIVIDUAL. BOLSA ESTERIL DE PVDC POLIPROPILENO SELLADA AL CALOR CON ETIQUETA DEIDENTIFICACION. CADUCIDAD 14 SEMANAS. PLACA. RTC.</v>
          </cell>
          <cell r="U3501">
            <v>99121</v>
          </cell>
          <cell r="V3501">
            <v>247801</v>
          </cell>
        </row>
        <row r="3502">
          <cell r="A3502">
            <v>3499</v>
          </cell>
          <cell r="B3502" t="str">
            <v>080.610.1523</v>
          </cell>
          <cell r="E3502" t="str">
            <v>MEDIOS DE CULTIVO, PLACAS. PLACA DE AGAR SANGRE CON BAJO PH, DESECHABLE, ESTERILDE POLIESTIRENO CRISTAL DE 92 MM DE DIAMETRO, CON 18 ML DE MEDIO HIDRATADO CON5% DE SANGRE DESFIBRINADA DE CARNERO. APILABLE, CON IDENTIFICACION IMPRESAINDIVIDUAL. BOLSA ESTERIL DE PVDC POLIPROPILENO SELLADA AL CALOR CON ETIQUETA DEIDENTIFICACION. CADUCIDAD 14 SEMANAS. PLACA. RTC.</v>
          </cell>
          <cell r="U3502">
            <v>31468</v>
          </cell>
          <cell r="V3502">
            <v>78668</v>
          </cell>
        </row>
        <row r="3503">
          <cell r="A3503">
            <v>3500</v>
          </cell>
          <cell r="B3503" t="str">
            <v>080.610.1531</v>
          </cell>
          <cell r="E3503" t="str">
            <v>Medios de Cultivo agar. Agar Mac Conkey. Medio selectivo para el aislamiento de coliformes. Frasco con 450 g. TA.</v>
          </cell>
          <cell r="U3503">
            <v>1781</v>
          </cell>
          <cell r="V3503">
            <v>4449</v>
          </cell>
        </row>
        <row r="3504">
          <cell r="A3504">
            <v>3501</v>
          </cell>
          <cell r="B3504" t="str">
            <v>080.610.1549</v>
          </cell>
          <cell r="E3504" t="str">
            <v>MEDIOS DE CULTIVO, PLACAS. PLACA DE AGAR CASMAN CON 10% DE SANGRE DESFIBRINADADE CABALLO. DESECHABLE, ESTERIL DE POLIESTIRENO CRISTAL DE 92 MM DE DIAMETRO,CON 18 ML. DE MEDIO HIDRATADO. APILABLE, CON IDENTIFICACION IMPRESA INDIVIDUAL.BOLSA ESTERIL DE PVDC POLIPROPILENO SELLADA AL CALOR CON ETIQUETA DEIDENTIFICACION. CADUCIDAD 14 SEMANAS. PLACA. RTC.</v>
          </cell>
          <cell r="U3504">
            <v>7486</v>
          </cell>
          <cell r="V3504">
            <v>18713</v>
          </cell>
        </row>
        <row r="3505">
          <cell r="A3505">
            <v>3502</v>
          </cell>
          <cell r="B3505" t="str">
            <v>080.610.1663</v>
          </cell>
          <cell r="E3505" t="str">
            <v>MEDIOS DE CULTIVO, CALDOS. CALDO MANITOL Y ROJO DE FENOL. UTIL PARAIDENTIFICACION DE ENTEROBACTERIAS Y OTROS MICROORGANISMOS CON BASE A LACAPACIDAD DE FERMENTAR EL MANITOL. FRASCO CON 450 G. TA.</v>
          </cell>
          <cell r="U3505">
            <v>31</v>
          </cell>
          <cell r="V3505">
            <v>76</v>
          </cell>
        </row>
        <row r="3506">
          <cell r="A3506">
            <v>3503</v>
          </cell>
          <cell r="B3506" t="str">
            <v>080.610.1671</v>
          </cell>
          <cell r="E3506" t="str">
            <v>MEDIOS DE CULTIVO, MEDIOS ESPECIALES. MEDIO DE CALDO LACTOSADO. FRASCO CON 450G. TA.</v>
          </cell>
          <cell r="U3506">
            <v>108</v>
          </cell>
          <cell r="V3506">
            <v>268</v>
          </cell>
        </row>
        <row r="3507">
          <cell r="A3507">
            <v>3504</v>
          </cell>
          <cell r="B3507" t="str">
            <v>080.610.1697</v>
          </cell>
          <cell r="E3507" t="str">
            <v>MEDIOS DE CULTIVO, AGAR. AGAR VOGEL-JOHNSON. FRASCO CON 450 G. TA.</v>
          </cell>
          <cell r="U3507">
            <v>21</v>
          </cell>
          <cell r="V3507">
            <v>51</v>
          </cell>
        </row>
        <row r="3508">
          <cell r="A3508">
            <v>3505</v>
          </cell>
          <cell r="B3508" t="str">
            <v>080.610.1770</v>
          </cell>
          <cell r="E3508" t="str">
            <v>MEDIOS DE CULTIVO, MEDIOS ESPECIALES. MEDIO MIO. PARA DIFERENCIARENTEROBACTERIAS. FRASCO CON 450 G. TA.</v>
          </cell>
          <cell r="U3508">
            <v>189</v>
          </cell>
          <cell r="V3508">
            <v>470</v>
          </cell>
        </row>
        <row r="3509">
          <cell r="A3509">
            <v>3506</v>
          </cell>
          <cell r="B3509" t="str">
            <v>080.610.1812</v>
          </cell>
          <cell r="E3509" t="str">
            <v>MEDIOS DE CULTIVO, CALDOS. CALDO MR-VP. PARA LA IDENTIFICACION BACTERIANA BASADOEN LA REACCION DE ROJO DE METILO Y VOGES PROSKAUER. FRASCO CON 450 G. TA.</v>
          </cell>
          <cell r="U3509">
            <v>38</v>
          </cell>
          <cell r="V3509">
            <v>94</v>
          </cell>
        </row>
        <row r="3510">
          <cell r="A3510">
            <v>3507</v>
          </cell>
          <cell r="B3510" t="str">
            <v>080.610.1820</v>
          </cell>
          <cell r="E3510" t="str">
            <v>MEDIOS DE CULTIVO, PLACAS. PLACA PARA LA CUENTA TOTAL DE HONGOS Y LEVADURAS ENLIQUIDOS. PLACA. RTC.</v>
          </cell>
          <cell r="U3510">
            <v>3776</v>
          </cell>
          <cell r="V3510">
            <v>9438</v>
          </cell>
        </row>
        <row r="3511">
          <cell r="A3511">
            <v>3508</v>
          </cell>
          <cell r="B3511" t="str">
            <v>080.610.1838</v>
          </cell>
          <cell r="E3511" t="str">
            <v>MEDIOS DE CULTIVO, AGAR. AGAR NICKERSON O AGAR BIGGY. PARA EL AISLAMIENTO DELEVADURAS DEL GENERO CANDIDA. FRASCO CON 450 G. TA.</v>
          </cell>
          <cell r="U3511">
            <v>1005</v>
          </cell>
          <cell r="V3511">
            <v>2510</v>
          </cell>
        </row>
        <row r="3512">
          <cell r="A3512">
            <v>3509</v>
          </cell>
          <cell r="B3512" t="str">
            <v>080.610.1846</v>
          </cell>
          <cell r="E3512" t="str">
            <v>MEDIOS DE CULTIVO, PLACAS. PLACA PARA LA CUENTA TOTAL DE COLIFORMES EN LIQUIDOS,PARA USO EN BACTERIOLOGIA SANITARIA Y AMBIENTAL. RTC.</v>
          </cell>
          <cell r="U3512">
            <v>3080</v>
          </cell>
          <cell r="V3512">
            <v>7696</v>
          </cell>
        </row>
        <row r="3513">
          <cell r="A3513">
            <v>3510</v>
          </cell>
          <cell r="B3513" t="str">
            <v>080.610.1879</v>
          </cell>
          <cell r="E3513" t="str">
            <v>MEDIOS DE CULTIVO, COMPLEMENTOS. PEPTONA DE CASEINA. PARA CULTIVARMICROORGANISMOS EXIGENTES, DEMOSTRAR INDOL Y PROBAR LA POTENCIA DEANTIMICROBIANOS. FRASCO CON 450 G. TA.</v>
          </cell>
          <cell r="U3513">
            <v>156</v>
          </cell>
          <cell r="V3513">
            <v>386</v>
          </cell>
        </row>
        <row r="3514">
          <cell r="A3514">
            <v>3511</v>
          </cell>
          <cell r="B3514" t="str">
            <v>080.610.1887</v>
          </cell>
          <cell r="E3514" t="str">
            <v>MEDIOS DE CULTIVO, CALDOS. CALDO AGAR DE LETHEEN. FRASCO CON 450 G. TA.</v>
          </cell>
          <cell r="U3514">
            <v>30</v>
          </cell>
          <cell r="V3514">
            <v>72</v>
          </cell>
        </row>
        <row r="3515">
          <cell r="A3515">
            <v>3512</v>
          </cell>
          <cell r="B3515" t="str">
            <v>080.610.2042</v>
          </cell>
          <cell r="E3515" t="str">
            <v>MEDIOS DE CULTIVO, AGAR. AGAR SABOURAUD CON DEXTROSA. PARA EL CULTIVO DE HONGOS.FRASCO CON 450 G. TA.</v>
          </cell>
          <cell r="U3515">
            <v>601</v>
          </cell>
          <cell r="V3515">
            <v>1500</v>
          </cell>
        </row>
        <row r="3516">
          <cell r="A3516">
            <v>3513</v>
          </cell>
          <cell r="B3516" t="str">
            <v>080.610.2117</v>
          </cell>
          <cell r="E3516" t="str">
            <v>MEDIOS DE CULTIVO, CALDOS. CALDO SACAROSA Y ROJO DE FENOL. UTIL PARA LACARACTERIZACION DE ENTEROBACTERIAS BASADO EN SU CAPACIDAD DE FERMENTAR LASACAROSA. FRASCO CON 450 G. TA. ADICIONANDO UREA Y AZUL DE BROMOTIMOL SE PUEDEOBTENER EL SURRACO. (CONSULTAR REACTIVOS QUIMICOS).</v>
          </cell>
          <cell r="U3516">
            <v>80</v>
          </cell>
          <cell r="V3516">
            <v>196</v>
          </cell>
        </row>
        <row r="3517">
          <cell r="A3517">
            <v>3514</v>
          </cell>
          <cell r="B3517" t="str">
            <v>080.610.2182</v>
          </cell>
          <cell r="E3517" t="str">
            <v>MEDIOS DE CULTIVO, AGAR. AGAR SALMONELLA-SHIGELLA MEDIO SELECTIVO Y DIFERENCIALPRINCIPALMENTE PARA ENTEROBACTERIAS LACTOSA NEGATIVAS. FRASCO CON 450 G. TA.</v>
          </cell>
          <cell r="U3517">
            <v>474</v>
          </cell>
          <cell r="V3517">
            <v>1182</v>
          </cell>
        </row>
        <row r="3518">
          <cell r="A3518">
            <v>3515</v>
          </cell>
          <cell r="B3518" t="str">
            <v>080.610.2216</v>
          </cell>
          <cell r="E3518" t="str">
            <v>MEDIOS DE CULTIVO, SUPLEMENTOS. SUPLEMENTO NUTRITIVO ENRIQUECIDO. COMPLEMENTO DEMEDIOS DE CULTIVO PARA EL AISLAMIENTO DE MICROORGANISMOS CON GRANDESREQUERIMIENTOS NUTRITIVOS. FRASCO CON 10 ML. TA.</v>
          </cell>
          <cell r="U3518">
            <v>200</v>
          </cell>
          <cell r="V3518">
            <v>500</v>
          </cell>
        </row>
        <row r="3519">
          <cell r="A3519">
            <v>3516</v>
          </cell>
          <cell r="B3519" t="str">
            <v>080.610.2265</v>
          </cell>
          <cell r="E3519" t="str">
            <v>MEDIOS DE CULTIVO, CALDOS. CALDO TETRATIONATO. MEDIO ENRIQUECIDO, PRINCIPALMENTEUTIL PARA ENTEROBACTERIAS DEL GENERO SALMONELLA. FRASCO CON 450 G. TA.</v>
          </cell>
          <cell r="U3519">
            <v>735</v>
          </cell>
          <cell r="V3519">
            <v>1835</v>
          </cell>
        </row>
        <row r="3520">
          <cell r="A3520">
            <v>3517</v>
          </cell>
          <cell r="B3520" t="str">
            <v>080.610.2281</v>
          </cell>
          <cell r="E3520" t="str">
            <v>MEDIOS DE CULTIVO, CALDOS. CALDO TIOGLICOLATO SIN DEXTROSA Y SIN INDICADOR. PARAEL CULTIVO Y AISLAMIENTO DE ANAEROBIOS. FRASCO CON 450 G. TA.</v>
          </cell>
          <cell r="U3520">
            <v>345</v>
          </cell>
          <cell r="V3520">
            <v>862</v>
          </cell>
        </row>
        <row r="3521">
          <cell r="A3521">
            <v>3518</v>
          </cell>
          <cell r="B3521" t="str">
            <v>080.610.2398</v>
          </cell>
          <cell r="E3521" t="str">
            <v>MEDIOS DE TRANSPORTE. MEDIO DE TRANSPORTE CARY Y BLAIR. TUBOS PREPARADOS CONHISOPO. PIEZA. RTC.</v>
          </cell>
          <cell r="U3521">
            <v>85032</v>
          </cell>
          <cell r="V3521">
            <v>212578</v>
          </cell>
        </row>
        <row r="3522">
          <cell r="A3522">
            <v>3519</v>
          </cell>
          <cell r="B3522" t="str">
            <v>080.610.2448</v>
          </cell>
          <cell r="E3522" t="str">
            <v>MEDIOS DE CULTIVO, MEDIOS ESPECIALES. MEDIO TCBS (TIOSULFATO, CITRATO, SALESBILIARES, SACAROSA). FRASCO CON 450 G. TA.</v>
          </cell>
          <cell r="U3522">
            <v>244</v>
          </cell>
          <cell r="V3522">
            <v>608</v>
          </cell>
        </row>
        <row r="3523">
          <cell r="A3523">
            <v>3520</v>
          </cell>
          <cell r="B3523" t="str">
            <v>080.610.2497</v>
          </cell>
          <cell r="E3523" t="str">
            <v>MEDIOS DE CULTIVO, AGAR. AGAR VERDE BRILLANTE. MEDIO SELECTIVO Y DIFERENCIAL DEENTEROBACTERIAS PATOGENAS Y PRINCIPALMENTE SALMONELLA. FRASCO CON 450 G. TA.</v>
          </cell>
          <cell r="U3523">
            <v>493</v>
          </cell>
          <cell r="V3523">
            <v>1230</v>
          </cell>
        </row>
        <row r="3524">
          <cell r="A3524">
            <v>3521</v>
          </cell>
          <cell r="B3524" t="str">
            <v>080.610.2513</v>
          </cell>
          <cell r="E3524" t="str">
            <v>MEDIOS DE CULTIVO, COMPLEMENTOS. SANGRE DESFIBRINADA DE CARNERO. FRASCO CON 50ML. RTC.</v>
          </cell>
          <cell r="U3524">
            <v>166</v>
          </cell>
          <cell r="V3524">
            <v>412</v>
          </cell>
        </row>
        <row r="3525">
          <cell r="A3525">
            <v>3522</v>
          </cell>
          <cell r="B3525" t="str">
            <v>080.610.2521</v>
          </cell>
          <cell r="E3525" t="str">
            <v>MEDIOS DE CULTIVO, SUPLEMENTOS. VCNT INHIBIDOR. VANCOMICINA, COLIMICINA,NISTATINA Y TRIMETOPRIMA INHIBIDORES PARA PREPARAR EL MEDIO DE THAYER-MARTIN.FRASCO CON 10 ML. RTC.</v>
          </cell>
          <cell r="U3525">
            <v>170</v>
          </cell>
          <cell r="V3525">
            <v>422</v>
          </cell>
        </row>
        <row r="3526">
          <cell r="A3526">
            <v>3523</v>
          </cell>
          <cell r="B3526" t="str">
            <v>080.610.2562</v>
          </cell>
          <cell r="E3526" t="str">
            <v>MEDIOS DE CULTIVO, CALDOS. CALDO LAURIL SULFATO DE SODIO. USADO PARA EL ANALISISMICROBIOLOGICO DE AGUAS Y ALIMENTOS. FRASCO CON 450 G. TA.</v>
          </cell>
          <cell r="U3526">
            <v>52</v>
          </cell>
          <cell r="V3526">
            <v>129</v>
          </cell>
        </row>
        <row r="3527">
          <cell r="A3527">
            <v>3524</v>
          </cell>
          <cell r="B3527" t="str">
            <v>080.610.2570</v>
          </cell>
          <cell r="E3527" t="str">
            <v>MEDIOS DE CULTIVO, CALDOS. CALDO AL 2% VERDE BRILLANTE BILIS. PARA LAPROLIFERACION SELECTIVA DE COLIFORMES. FRASCO CON 450 G. TA.</v>
          </cell>
          <cell r="U3527">
            <v>83</v>
          </cell>
          <cell r="V3527">
            <v>204</v>
          </cell>
        </row>
        <row r="3528">
          <cell r="A3528">
            <v>3525</v>
          </cell>
          <cell r="B3528" t="str">
            <v>080.610.2588</v>
          </cell>
          <cell r="E3528" t="str">
            <v>MEDIOS DE CULTIVO AGAR. AGAR DEXTROSA Y PAPA. PARA IDENTIFICACION CULTIVO YRECUENTO DE LEVADURAS Y HONGOS. FRASCO CON 450 G. TA.</v>
          </cell>
          <cell r="U3528">
            <v>158</v>
          </cell>
          <cell r="V3528">
            <v>393</v>
          </cell>
        </row>
        <row r="3529">
          <cell r="A3529">
            <v>3526</v>
          </cell>
          <cell r="B3529" t="str">
            <v>080.610.2596</v>
          </cell>
          <cell r="E3529" t="str">
            <v>MEDIOS DE CULTIVO AGAR. AGAR BILIS Y ROJO VIOLETA. PARA CUENTA DE BACTERIASCOLIFORMES. FRASCO CON 450 G. TA.</v>
          </cell>
          <cell r="U3529">
            <v>494</v>
          </cell>
          <cell r="V3529">
            <v>1234</v>
          </cell>
        </row>
        <row r="3530">
          <cell r="A3530">
            <v>3527</v>
          </cell>
          <cell r="B3530" t="str">
            <v>080.610.2604</v>
          </cell>
          <cell r="E3530" t="str">
            <v>MEDIOS DE CULTIVO AGAR. AGAR PARA METODO ESTANDAR. PARA CUENTA MICROBIANA TOTALEN LA LECHE. FRASCO CON 450 G. TA.</v>
          </cell>
          <cell r="U3530">
            <v>446</v>
          </cell>
          <cell r="V3530">
            <v>1113</v>
          </cell>
        </row>
        <row r="3531">
          <cell r="A3531">
            <v>3528</v>
          </cell>
          <cell r="B3531" t="str">
            <v>080.610.6803</v>
          </cell>
          <cell r="E3531" t="str">
            <v>MEDIOS DE CULTIVO, AGAR. AGAR LOWENSTEIN-JENSEN (PREELABORADO). MEDIO SELECTIVOPARA MICOBACTERIAS ESPECIALMENTE M. TUBERCULOSIS. CAJA CON 10 O 12 TUBOS. TA.</v>
          </cell>
          <cell r="U3531">
            <v>26</v>
          </cell>
          <cell r="V3531">
            <v>64</v>
          </cell>
        </row>
        <row r="3532">
          <cell r="A3532">
            <v>3529</v>
          </cell>
          <cell r="B3532" t="str">
            <v>080.610.6902</v>
          </cell>
          <cell r="E3532" t="str">
            <v>MEDIOS DE CULTIVO, AGAR. AGAR MUELLER-HINTON. PARA INVESTIGAR LA SUSCEPTIBILIDADDE LOS MICROORGANISMOS A LOS ANTIMICROBIANOS Y AISLAR GONOCOCOS. FRASCO CON 450G. TA.</v>
          </cell>
          <cell r="U3532">
            <v>813</v>
          </cell>
          <cell r="V3532">
            <v>2029</v>
          </cell>
        </row>
        <row r="3533">
          <cell r="A3533">
            <v>3530</v>
          </cell>
          <cell r="B3533" t="str">
            <v>080.610.7454</v>
          </cell>
          <cell r="E3533" t="str">
            <v>MEDIOS DE CULTIVO, AGAR. AGAR SIMMONS CON CITRATO. PARA DIFERENCIAR LASENTEROBACTERIAS EN LA UTILIZACION DEL CITRATO. FRASCO CON 450 G. TA.</v>
          </cell>
          <cell r="U3533">
            <v>190</v>
          </cell>
          <cell r="V3533">
            <v>474</v>
          </cell>
        </row>
        <row r="3534">
          <cell r="A3534">
            <v>3531</v>
          </cell>
          <cell r="B3534" t="str">
            <v>080.610.8254</v>
          </cell>
          <cell r="E3534" t="str">
            <v>MEDIOS DE CULTIVO, AGAR. AGAR-AGAR. BASE PARA LA PREPARACION DE MEDIOS DECULTIVO. FRASCO CON 450 G. TA.</v>
          </cell>
          <cell r="U3534">
            <v>98</v>
          </cell>
          <cell r="V3534">
            <v>243</v>
          </cell>
        </row>
        <row r="3535">
          <cell r="A3535">
            <v>3532</v>
          </cell>
          <cell r="B3535" t="str">
            <v>080.610.9559</v>
          </cell>
          <cell r="E3535" t="str">
            <v>MEDIOS DE CULTIVO, CALDOS. CALDO MALONATO. FRASCO CON 450 G. TA.</v>
          </cell>
          <cell r="U3535">
            <v>70</v>
          </cell>
          <cell r="V3535">
            <v>174</v>
          </cell>
        </row>
        <row r="3536">
          <cell r="A3536">
            <v>3533</v>
          </cell>
          <cell r="B3536" t="str">
            <v>080.610.9781</v>
          </cell>
          <cell r="E3536" t="str">
            <v>SUSTANCIAS BIOLOGICAS. CONTROL BIOLOGICO DE ESTERILIZACION. SUSPENSION DEBACILLUS STEAROTHERMOPHILUS, EN MEDIO DE CULTIVO CON INDICADOR PARA CONTROLAR LAESTERILIZACION DEL MATERIAL, LOS MICROORGANISMOS MUEREN A 121 GRADOSCENTIGRADOS. CAJA CON UN FRASCO AMPULA. RTC.</v>
          </cell>
          <cell r="U3536">
            <v>51608</v>
          </cell>
          <cell r="V3536">
            <v>129016</v>
          </cell>
        </row>
        <row r="3537">
          <cell r="A3537">
            <v>3534</v>
          </cell>
          <cell r="B3537" t="str">
            <v>080.610.9922</v>
          </cell>
          <cell r="E3537" t="str">
            <v>MEDIOS DE CULTIVO, CALDOS. CALDO DE CULTIVO PARA AISLAR BACTERIAS ANAEROBICAS ENSANGRE, EN FRASCO AL VACIO PARA 20 ML. (PEDIATRICO). JUEGO.</v>
          </cell>
          <cell r="U3537">
            <v>10</v>
          </cell>
          <cell r="V3537">
            <v>24</v>
          </cell>
        </row>
        <row r="3538">
          <cell r="A3538">
            <v>3535</v>
          </cell>
          <cell r="B3538" t="str">
            <v>080.626.0329</v>
          </cell>
          <cell r="E3538" t="str">
            <v>MORTEROS. DE PORCELANA O VIDRIO; PROVISTO DE PISTILO, CON CAPACIDAD PARA: 125ML. PIEZA.</v>
          </cell>
          <cell r="U3538">
            <v>757</v>
          </cell>
          <cell r="V3538">
            <v>1889</v>
          </cell>
        </row>
        <row r="3539">
          <cell r="A3539">
            <v>3536</v>
          </cell>
          <cell r="B3539" t="str">
            <v>080.681.0289</v>
          </cell>
          <cell r="E3539" t="str">
            <v>Papeles. Para informar los resultados de las fracciones obtenidas por electroforesis de las lipoproteínas. (Solicitar de acuerdo a la marca del aparato). Filtro No. 40 disco de: 110 mm de diámetro. Caja con 100.</v>
          </cell>
          <cell r="U3539">
            <v>875</v>
          </cell>
          <cell r="V3539">
            <v>2187</v>
          </cell>
        </row>
        <row r="3540">
          <cell r="A3540">
            <v>3537</v>
          </cell>
          <cell r="B3540" t="str">
            <v>080.681.1105</v>
          </cell>
          <cell r="E3540" t="str">
            <v>PAPELES. PARAFINADO, PARA TAPAR TUBOS A PRUEBA DE HUMEDAD, SEMITRANSPARENTEESTIRABLE E INERTE. ROLLO DE 50 CM DE ANCHO Y 760 CM DE LONGITUD.</v>
          </cell>
          <cell r="U3540">
            <v>1871</v>
          </cell>
          <cell r="V3540">
            <v>4675</v>
          </cell>
        </row>
        <row r="3541">
          <cell r="A3541">
            <v>3538</v>
          </cell>
          <cell r="B3541" t="str">
            <v>080.681.1618</v>
          </cell>
          <cell r="E3541" t="str">
            <v>PAPELES. PARA REGISTRAR LA TEMPERATURA DE LOS REFRIGERADORES DE BANCO DE SANGRE.CON GRAFICA CIRCULAR. PARAFINADO. CAJA CON 100 HOJAS.</v>
          </cell>
          <cell r="U3541">
            <v>272</v>
          </cell>
          <cell r="V3541">
            <v>678</v>
          </cell>
        </row>
        <row r="3542">
          <cell r="A3542">
            <v>3539</v>
          </cell>
          <cell r="B3542" t="str">
            <v>080.681.1857</v>
          </cell>
          <cell r="E3542" t="str">
            <v>PAPELES. PARA PRUEBA DE TSH. PAPEL FILTRO DE ALGODON 100% SIN ADITIVOS, ESPECIALPARA RECOLECCION Y TRANSPORTE DE SANGRE DE NEONATOS, CON IMPRESION DE CUATROCIRCULOS PUNTEADOS DE UN CENTIMETRO DE DIAMETRO CADA UNO Y DE LAS PALABRASNOMBRE Y CON NUMERO PROGRESIVO. PAQUETE CON 10 HOJAS MAXIMO 100.</v>
          </cell>
          <cell r="U3542">
            <v>4242</v>
          </cell>
          <cell r="V3542">
            <v>10604</v>
          </cell>
        </row>
        <row r="3543">
          <cell r="A3543">
            <v>3540</v>
          </cell>
          <cell r="B3543" t="str">
            <v>080.681.2202</v>
          </cell>
          <cell r="E3543" t="str">
            <v>Papeles. Para prueba de TSH. Papel filtro de algodón 100% sin aditivos especiales para recoleción y transporte de sangre de neonatos con impresión de cinco círculos punteados de un centímetro de diámetro cada uno con nombre, número progresivo y formato duplicado foliados. Múltiplo de 10 hojas máximo 100.</v>
          </cell>
          <cell r="U3543">
            <v>648360</v>
          </cell>
          <cell r="V3543">
            <v>1620898</v>
          </cell>
        </row>
        <row r="3544">
          <cell r="A3544">
            <v>3541</v>
          </cell>
          <cell r="B3544" t="str">
            <v>080.685.0046</v>
          </cell>
          <cell r="E3544" t="str">
            <v>REACTIVOS QUIMICOS. PARAFINA CON POLIMEROS PLASTICOS DE PESO MOLECULARCONTROLADO CON PUNTO DE FUSION DE 56-57 GRADOS CENTIGRADOS. *PARA USO EN SITIOSDONDE EXISTA EQUIPO AUTOMATIZADO Y EN HOSPITALES DE ALTA CARGA DE TRABAJO O DETERCER NIVEL. ENVASE CON 1000 G.</v>
          </cell>
          <cell r="U3544">
            <v>15482</v>
          </cell>
          <cell r="V3544">
            <v>38704</v>
          </cell>
        </row>
        <row r="3545">
          <cell r="A3545">
            <v>3542</v>
          </cell>
          <cell r="B3545" t="str">
            <v>080.705.0026</v>
          </cell>
          <cell r="E3545" t="str">
            <v>PIPETAS. DE VIDRIO, PARA MEDIR VOLUMEN, CON SUBDIVISIONES DE 0.1 ML. DE: 5.0 ML.EXACTITUD +/- 1%. PIEZA.</v>
          </cell>
          <cell r="U3545">
            <v>1657</v>
          </cell>
          <cell r="V3545">
            <v>4142</v>
          </cell>
        </row>
        <row r="3546">
          <cell r="A3546">
            <v>3543</v>
          </cell>
          <cell r="B3546" t="str">
            <v>080.705.0034</v>
          </cell>
          <cell r="E3546" t="str">
            <v>PIPETAS. DE VIDRIO, PARA MEDIR VOLUMEN, CON SUBDIVISIONES DE 0.1 ML. DE: 10.0ML. EXACTITUD +/- 1%. PIEZA.</v>
          </cell>
          <cell r="U3546">
            <v>3488</v>
          </cell>
          <cell r="V3546">
            <v>8719</v>
          </cell>
        </row>
        <row r="3547">
          <cell r="A3547">
            <v>3544</v>
          </cell>
          <cell r="B3547" t="str">
            <v>080.705.0109</v>
          </cell>
          <cell r="E3547" t="str">
            <v>PIPETAS. DE VIDRIO, LINEAL TERMINAL, PARA MEDIR VOLUMENES, CON SUBDIVISIONES DE0.01 ML. DE: 0.2 ML. PIEZA.</v>
          </cell>
          <cell r="U3547">
            <v>888</v>
          </cell>
          <cell r="V3547">
            <v>2219</v>
          </cell>
        </row>
        <row r="3548">
          <cell r="A3548">
            <v>3545</v>
          </cell>
          <cell r="B3548" t="str">
            <v>080.705.0125</v>
          </cell>
          <cell r="E3548" t="str">
            <v>PIPETAS. DE VIDRIO, LINEAL TERMINAL, PARA MEDIR VOLUMENES, CON SUBDIVISIONES DE0.01 ML. DE: 1.0 ML. PIEZA.</v>
          </cell>
          <cell r="U3548">
            <v>5159</v>
          </cell>
          <cell r="V3548">
            <v>12895</v>
          </cell>
        </row>
        <row r="3549">
          <cell r="A3549">
            <v>3546</v>
          </cell>
          <cell r="B3549" t="str">
            <v>080.705.0141</v>
          </cell>
          <cell r="E3549" t="str">
            <v>PIPETAS. DE VIDRIO, LINEAL TERMINAL, PARA MEDIR VOLUMENES, CON SUBDIVISIONES DE0.01 ML. DE: 2.0 ML. PIEZA.</v>
          </cell>
          <cell r="U3549">
            <v>1652</v>
          </cell>
          <cell r="V3549">
            <v>4128</v>
          </cell>
        </row>
        <row r="3550">
          <cell r="A3550">
            <v>3547</v>
          </cell>
          <cell r="B3550" t="str">
            <v>080.705.0166</v>
          </cell>
          <cell r="E3550" t="str">
            <v>Medidores de Líquidos. Para proporcionar reactivos (pipeteadores). Compuesto de recipientes ámbar de boca ancha y tapa con jeringa y escala graduada para ajustar volúmenes. Para medición seriada de líquidos; volumen regulable mediante una regla dentada puede enroscarse directamente a los frascos de reactivos. Para medir volúmenes de: 2 a 10 ml.</v>
          </cell>
          <cell r="U3550">
            <v>389</v>
          </cell>
          <cell r="V3550">
            <v>971</v>
          </cell>
        </row>
        <row r="3551">
          <cell r="A3551">
            <v>3548</v>
          </cell>
          <cell r="B3551" t="str">
            <v>080.705.0190</v>
          </cell>
          <cell r="E3551" t="str">
            <v>PIPETAS. DE VIDRIO, LINEAL TERMINAL, PARA MEDIR VOLUMENES, CON SUBDIVISIONES DE0.01 ML. DE: 0.1 ML. PIEZA.</v>
          </cell>
          <cell r="U3551">
            <v>307</v>
          </cell>
          <cell r="V3551">
            <v>764</v>
          </cell>
        </row>
        <row r="3552">
          <cell r="A3552">
            <v>3549</v>
          </cell>
          <cell r="B3552" t="str">
            <v>080.705.0232</v>
          </cell>
          <cell r="E3552" t="str">
            <v>PIPETORES AUTOMATICOS DE REPETICION. PIPETORES AUTOMATICOS DE REPETICIONGRADUABLE. CAPACIDAD DE 1 A 10 ML. PIEZA.</v>
          </cell>
          <cell r="U3552">
            <v>204</v>
          </cell>
          <cell r="V3552">
            <v>508</v>
          </cell>
        </row>
        <row r="3553">
          <cell r="A3553">
            <v>3550</v>
          </cell>
          <cell r="B3553" t="str">
            <v>080.709.0022</v>
          </cell>
          <cell r="E3553" t="str">
            <v>Pipetas. De vidrio blando con una punta alargada tipo Pasteur para diversos usos. Longitud: 14.5 cm. Caja con 50.</v>
          </cell>
          <cell r="U3553">
            <v>18144</v>
          </cell>
          <cell r="V3553">
            <v>45359</v>
          </cell>
        </row>
        <row r="3554">
          <cell r="A3554">
            <v>3551</v>
          </cell>
          <cell r="B3554" t="str">
            <v>080.709.0345</v>
          </cell>
          <cell r="E3554" t="str">
            <v>PIPETAS. PIPETA SEROLOGICA DE PLASTICO, ESTERIL, LIBRE DE PIROGENOS, DESECHABLE,CON TAPON DE SEGURIDAD (ALGODON), EN EMPAQUE INDIVIDUAL. PARA PIPETORAUTOMATICO. PARA VOLUMENES 1 ML. GRADUACION. 1 ML EN 1/100 CAJA CON 200 PIEZAS.</v>
          </cell>
          <cell r="U3554">
            <v>11</v>
          </cell>
          <cell r="V3554">
            <v>26</v>
          </cell>
        </row>
        <row r="3555">
          <cell r="A3555">
            <v>3552</v>
          </cell>
          <cell r="B3555" t="str">
            <v>080.709.0865</v>
          </cell>
          <cell r="E3555" t="str">
            <v>PIPETAS AUTOMATICAS. MICROPIPETAS MULTIPLES O DE MULTICANALES AUTOMATICAS CONUNA PRECISION DE ± 1.5%. UTIL EN PRUEBAS INMUNOENZIMATICAS, HEMAGLUTINACION EINHIBICION DE HEMAGLUTINACION EN PLACA O EN TUBO. CON VOLUMENES VARIABLES DE: 50A 200 MICROLITROS. PIEZA.</v>
          </cell>
          <cell r="U3555">
            <v>250</v>
          </cell>
          <cell r="V3555">
            <v>624</v>
          </cell>
        </row>
        <row r="3556">
          <cell r="A3556">
            <v>3553</v>
          </cell>
          <cell r="B3556" t="str">
            <v>080.709.2549</v>
          </cell>
          <cell r="E3556" t="str">
            <v>PIPETAS. DE VIDRIO, VOLUMETRICAS CLASE A, MANUALES, PARA MEDIR VOLUMENES: 0.5ML. PIEZA.</v>
          </cell>
          <cell r="U3556">
            <v>49</v>
          </cell>
          <cell r="V3556">
            <v>121</v>
          </cell>
        </row>
        <row r="3557">
          <cell r="A3557">
            <v>3554</v>
          </cell>
          <cell r="B3557" t="str">
            <v>080.709.2556</v>
          </cell>
          <cell r="E3557" t="str">
            <v>PIPETAS. DE VIDRIO, VOLUMETRICAS CLASE A, MANUALES, PARA MEDIR VOLUMENES: 1.0ML. PIEZA.</v>
          </cell>
          <cell r="U3557">
            <v>152</v>
          </cell>
          <cell r="V3557">
            <v>379</v>
          </cell>
        </row>
        <row r="3558">
          <cell r="A3558">
            <v>3555</v>
          </cell>
          <cell r="B3558" t="str">
            <v>080.709.2564</v>
          </cell>
          <cell r="E3558" t="str">
            <v>PIPETAS. DE VIDRIO, VOLUMETRICAS CLASE A, MANUALES, PARA MEDIR VOLUMENES: 2.0ML. PIEZA.</v>
          </cell>
          <cell r="U3558">
            <v>403</v>
          </cell>
          <cell r="V3558">
            <v>1005</v>
          </cell>
        </row>
        <row r="3559">
          <cell r="A3559">
            <v>3556</v>
          </cell>
          <cell r="B3559" t="str">
            <v>080.709.2606</v>
          </cell>
          <cell r="E3559" t="str">
            <v>PIPETAS. DE VIDRIO, VOLUMETRICAS CLASE A, MANUALES, PARA MEDIR VOLUMENES: 5.0ML. PIEZA.</v>
          </cell>
          <cell r="U3559">
            <v>590</v>
          </cell>
          <cell r="V3559">
            <v>1472</v>
          </cell>
        </row>
        <row r="3560">
          <cell r="A3560">
            <v>3557</v>
          </cell>
          <cell r="B3560" t="str">
            <v>080.709.2655</v>
          </cell>
          <cell r="E3560" t="str">
            <v>PIPETAS. DE VIDRIO, VOLUMETRICAS CLASE A, MANUALES, PARA MEDIR VOLUMENES: 10.0ML. PIEZA.</v>
          </cell>
          <cell r="U3560">
            <v>546</v>
          </cell>
          <cell r="V3560">
            <v>1362</v>
          </cell>
        </row>
        <row r="3561">
          <cell r="A3561">
            <v>3558</v>
          </cell>
          <cell r="B3561" t="str">
            <v>080.709.2713</v>
          </cell>
          <cell r="E3561" t="str">
            <v>PIPETAS DE VIDRIO, TIPO THOMA, PARA DILUCIONES DE 1:10 Y 1:20 EN LAS CUENTAS DELEUCOCITOS Y OTRAS CELULAS. PIEZA.</v>
          </cell>
          <cell r="U3561">
            <v>298</v>
          </cell>
          <cell r="V3561">
            <v>742</v>
          </cell>
        </row>
        <row r="3562">
          <cell r="A3562">
            <v>3559</v>
          </cell>
          <cell r="B3562" t="str">
            <v>080.709.2721</v>
          </cell>
          <cell r="E3562" t="str">
            <v>PIPETAS. DE VIDRIO, TIPO THOMA PARA DILUCIONES 1:100 Y 1:200 EN LAS CUENTAS DEERITROCITOS Y PLAQUETAS. PIEZA.</v>
          </cell>
          <cell r="U3562">
            <v>34</v>
          </cell>
          <cell r="V3562">
            <v>84</v>
          </cell>
        </row>
        <row r="3563">
          <cell r="A3563">
            <v>3560</v>
          </cell>
          <cell r="B3563" t="str">
            <v>080.709.2754</v>
          </cell>
          <cell r="E3563" t="str">
            <v>PIPETAS. DE VIDRIO, TIPO SAHLI, LINEAL, CON MARCA DE AFORO, PARA USARSE CONBOQUILLA Y TUBO DE HULE. PARA 20 MICROLITROS DE SANGRE EN LA DETERMINACION DEHEMOGLOBINA. PIEZA.</v>
          </cell>
          <cell r="U3563">
            <v>10</v>
          </cell>
          <cell r="V3563">
            <v>24</v>
          </cell>
        </row>
        <row r="3564">
          <cell r="A3564">
            <v>3561</v>
          </cell>
          <cell r="B3564" t="str">
            <v>080.709.3463</v>
          </cell>
          <cell r="E3564" t="str">
            <v>PIPETAS. PIPETA AUTOMATICA DE VOLUMEN VARIABLE CON CAPACIDAD DE 1 A 10 O DE 2 A20 MICROLITROS. PIEZA.</v>
          </cell>
          <cell r="U3564">
            <v>680</v>
          </cell>
          <cell r="V3564">
            <v>1699</v>
          </cell>
        </row>
        <row r="3565">
          <cell r="A3565">
            <v>3562</v>
          </cell>
          <cell r="B3565" t="str">
            <v>080.709.3471</v>
          </cell>
          <cell r="E3565" t="str">
            <v>PIPETAS. PIPETA AUTOMATICA DE VOLUMEN VARIABLE CON CAPACIDAD DE 10 A 100 O DE 20A 200 MICROLITROS. PIEZA.</v>
          </cell>
          <cell r="U3565">
            <v>1731</v>
          </cell>
          <cell r="V3565">
            <v>4325</v>
          </cell>
        </row>
        <row r="3566">
          <cell r="A3566">
            <v>3563</v>
          </cell>
          <cell r="B3566" t="str">
            <v>080.709.3489</v>
          </cell>
          <cell r="E3566" t="str">
            <v>PIPETAS. PIPETA AUTOMATICA DE VOLUMEN VARIABLE CON CAPACIDAD DE 100 A 1000 O DE200 A 2000 MICROLITROS. PIEZA.</v>
          </cell>
          <cell r="U3566">
            <v>1724</v>
          </cell>
          <cell r="V3566">
            <v>4307</v>
          </cell>
        </row>
        <row r="3567">
          <cell r="A3567">
            <v>3564</v>
          </cell>
          <cell r="B3567" t="str">
            <v>080.720.0209</v>
          </cell>
          <cell r="E3567" t="str">
            <v>PLACAS. DE VIDRIO, PARA REACCION DE AGLUTINACION MACROSCOPICA. DE 18 X 16 CM Y 3MM. CON 30 ANILLOS DE CERAMICA DE 20 MM DE DIAMETRO. PIEZA.</v>
          </cell>
          <cell r="U3567">
            <v>2848</v>
          </cell>
          <cell r="V3567">
            <v>7120</v>
          </cell>
        </row>
        <row r="3568">
          <cell r="A3568">
            <v>3565</v>
          </cell>
          <cell r="B3568" t="str">
            <v>080.720.0241</v>
          </cell>
          <cell r="E3568" t="str">
            <v>PLACAS. DE VIDRIO, PARA REACCION DE AGLUTINACION MICROSCOPICA (VDRL). DE 75 X 51MM Y 2.3 M DE ESPESOR, CON 12 ANILLOS DE CERAMICA DE 14 MM DE DIAMETRO. PIEZA.</v>
          </cell>
          <cell r="U3568">
            <v>1800</v>
          </cell>
          <cell r="V3568">
            <v>4498</v>
          </cell>
        </row>
        <row r="3569">
          <cell r="A3569">
            <v>3566</v>
          </cell>
          <cell r="B3569" t="str">
            <v>080.725.4487</v>
          </cell>
          <cell r="E3569" t="str">
            <v>Sustancias Biológicas Albúmina bovina polimerizada para pruebas en tubo o lámina en medio albuminoso para facilitar la aglutinación de eritrocitos sensibilizados. Frasco con 10 ml. RTC.</v>
          </cell>
          <cell r="U3569">
            <v>10349</v>
          </cell>
          <cell r="V3569">
            <v>25871</v>
          </cell>
        </row>
        <row r="3570">
          <cell r="A3570">
            <v>3567</v>
          </cell>
          <cell r="B3570" t="str">
            <v>080.729.0010</v>
          </cell>
          <cell r="E3570" t="str">
            <v>Porta Objetos De vidrio rectangulares de grosor uniforme de 75 x 25 x 0.8 a 1.1 mm: Lisos. Caja con 50 piezas.</v>
          </cell>
          <cell r="U3570">
            <v>415902</v>
          </cell>
          <cell r="V3570">
            <v>1039754</v>
          </cell>
        </row>
        <row r="3571">
          <cell r="A3571">
            <v>3568</v>
          </cell>
          <cell r="B3571" t="str">
            <v>080.729.0051</v>
          </cell>
          <cell r="E3571" t="str">
            <v>PORTAOBJETOS. DE VIDRIO, RECTANGULARES DE GROSOR UNIFORME DE 75 X 25 X 0.8 A 1.1MM: CON ESQUINAS Y UN EXTREMO ESMERILADO. CAJA CON 50 PIEZAS.</v>
          </cell>
          <cell r="U3571">
            <v>36136</v>
          </cell>
          <cell r="V3571">
            <v>90339</v>
          </cell>
        </row>
        <row r="3572">
          <cell r="A3572">
            <v>3569</v>
          </cell>
          <cell r="B3572" t="str">
            <v>080.733.0238</v>
          </cell>
          <cell r="E3572" t="str">
            <v>PROBETAS. DE POLIPROPILENO GRADUADAS: CAPACIDAD. 500 ML. EXACTITUD. MEDIANA.PIEZA.</v>
          </cell>
          <cell r="U3572">
            <v>1324</v>
          </cell>
          <cell r="V3572">
            <v>3307</v>
          </cell>
        </row>
        <row r="3573">
          <cell r="A3573">
            <v>3570</v>
          </cell>
          <cell r="B3573" t="str">
            <v>080.733.0246</v>
          </cell>
          <cell r="E3573" t="str">
            <v>PROBETAS. DE POLIPROPILENO GRADUADAS: CAPACIDAD. 1000 ML. EXACTITUD. BAJA.PIEZA.</v>
          </cell>
          <cell r="U3573">
            <v>2053</v>
          </cell>
          <cell r="V3573">
            <v>5130</v>
          </cell>
        </row>
        <row r="3574">
          <cell r="A3574">
            <v>3571</v>
          </cell>
          <cell r="B3574" t="str">
            <v>080.733.0253</v>
          </cell>
          <cell r="E3574" t="str">
            <v>PROBETAS. DE POLIPROPILENO GRADUADAS: CAPACIDAD. 2000 ML. EXACTITUD. BAJA.PIEZA.</v>
          </cell>
          <cell r="U3574">
            <v>1463</v>
          </cell>
          <cell r="V3574">
            <v>3655</v>
          </cell>
        </row>
        <row r="3575">
          <cell r="A3575">
            <v>3572</v>
          </cell>
          <cell r="B3575" t="str">
            <v>080.735.0129</v>
          </cell>
          <cell r="E3575" t="str">
            <v>PUNTAS DESECHABLES DE: PLASTICO. PIEZA. SEGUN EL TIPO Y MARCA DE PIPETAS.</v>
          </cell>
          <cell r="U3575">
            <v>86835</v>
          </cell>
          <cell r="V3575">
            <v>217085</v>
          </cell>
        </row>
        <row r="3576">
          <cell r="A3576">
            <v>3573</v>
          </cell>
          <cell r="B3576" t="str">
            <v>080.735.0202</v>
          </cell>
          <cell r="E3576" t="str">
            <v>PUNTAS DE PLASTICO. DESECHABLES, PARA PIPETAS DE: 100 MICROLITROS.</v>
          </cell>
          <cell r="U3576">
            <v>7398</v>
          </cell>
          <cell r="V3576">
            <v>18491</v>
          </cell>
        </row>
        <row r="3577">
          <cell r="A3577">
            <v>3574</v>
          </cell>
          <cell r="B3577" t="str">
            <v>080.735.0210</v>
          </cell>
          <cell r="E3577" t="str">
            <v>PUNTAS DE PLASTICO. DESECHABLES, PARA PIPETAS DE: 200 MICROLITROS. BOLSA CON1000.</v>
          </cell>
          <cell r="U3577">
            <v>944</v>
          </cell>
          <cell r="V3577">
            <v>2358</v>
          </cell>
        </row>
        <row r="3578">
          <cell r="A3578">
            <v>3575</v>
          </cell>
          <cell r="B3578" t="str">
            <v>080.735.0228</v>
          </cell>
          <cell r="E3578" t="str">
            <v>PUNTAS DE PLASTICO. DESECHABLES, PARA PIPETAS DE: 1000 MICROLITROS. BOLSA CON1000.</v>
          </cell>
          <cell r="U3578">
            <v>1020</v>
          </cell>
          <cell r="V3578">
            <v>2546</v>
          </cell>
        </row>
        <row r="3579">
          <cell r="A3579">
            <v>3576</v>
          </cell>
          <cell r="B3579" t="str">
            <v>080.735.1317</v>
          </cell>
          <cell r="E3579" t="str">
            <v>PUNTAS PARA MICROPIPETAS. PUNTAS TRANSLUCIDAS LIBRES DE RNAASA, DNAASA YPIROGENOS. RESISTEN LA ESTERILIZACION EN AUTOCLAVE, COLOCADAS EN CAJA CON 96 O100 PUNTAS. SEÑALAR LA MARCA Y MODELO DE PIPETA QUE SE VA A EMPLEAR. CAJA.</v>
          </cell>
          <cell r="U3579">
            <v>107</v>
          </cell>
          <cell r="V3579">
            <v>265</v>
          </cell>
        </row>
        <row r="3580">
          <cell r="A3580">
            <v>3577</v>
          </cell>
          <cell r="B3580" t="str">
            <v>080.735.1374</v>
          </cell>
          <cell r="E3580" t="str">
            <v>PIPETAS. PUNTA CON FILTRO PARA PIPETA DE 1 A 10 MICROLITROS. LIBRES DE RNAASA,DNAASA Y PIROGENOS. RESISTEN LA ESTERILIZACION EN AUTOCLAVE. SEÑALAR LA MARCA YMODELO DE PIPETA QUE SE VA A EMPLEAR. ENVASE CON MINIMO 960 PIEZAS.</v>
          </cell>
          <cell r="U3580">
            <v>155</v>
          </cell>
          <cell r="V3580">
            <v>387</v>
          </cell>
        </row>
        <row r="3581">
          <cell r="A3581">
            <v>3578</v>
          </cell>
          <cell r="B3581" t="str">
            <v>080.735.1382</v>
          </cell>
          <cell r="E3581" t="str">
            <v>PIPETAS. PUNTA CON FILTRO PARA PIPETA DE 10 A 100 MICROLITROS. LIBRES DE RNAASA,DNAASA Y PIROGENOS. RESISTEN LA ESTERILIZACION EN AUTOCLAVE. SEÑALAR LA MARCA YMODELO DE PIPETA QUE SE VA A EMPLEAR. ENVASE CON MINIMO 960 PIEZAS.</v>
          </cell>
          <cell r="U3581">
            <v>104</v>
          </cell>
          <cell r="V3581">
            <v>258</v>
          </cell>
        </row>
        <row r="3582">
          <cell r="A3582">
            <v>3579</v>
          </cell>
          <cell r="B3582" t="str">
            <v>080.735.1390</v>
          </cell>
          <cell r="E3582" t="str">
            <v>PIPETAS. PUNTA CON FILTRO PARA PIPETA DE 100 A 1000 MICROLITROS. LIBRES DERNAASA DNAASA Y PIROGENOS. RESISTEN LA ESTERILIZACION EN AUTOCLAVE. SEÑALAR LAMARCA Y MODELO DE PIPETA QUE SE VA A EMPLEAR. ENVASE CON MINIMO 960 PIEZAS.</v>
          </cell>
          <cell r="U3582">
            <v>156</v>
          </cell>
          <cell r="V3582">
            <v>387</v>
          </cell>
        </row>
        <row r="3583">
          <cell r="A3583">
            <v>3580</v>
          </cell>
          <cell r="B3583" t="str">
            <v>080.735.1408</v>
          </cell>
          <cell r="E3583" t="str">
            <v>PIPETAS. PUNTA SIN FILTRO PARA PIPETA DE 1 A 10 MICROLITROS. LIBRES DE RNAASA,DNAASA Y PIROGENOS. RESISTEN LA ESTERILIZACION EN AUTOCLAVE. SEÑALAR LA MARCA YMODELO DE PIPETA QUE SE VA A EMPLEAR. ENVASE CON MINIMO 500 PIEZAS.</v>
          </cell>
          <cell r="U3583">
            <v>212</v>
          </cell>
          <cell r="V3583">
            <v>527</v>
          </cell>
        </row>
        <row r="3584">
          <cell r="A3584">
            <v>3581</v>
          </cell>
          <cell r="B3584" t="str">
            <v>080.735.1416</v>
          </cell>
          <cell r="E3584" t="str">
            <v>PIPETAS. PUNTA SIN FILTRO PARA PIPETA DE 10 A 100 MICROLITROS. LIBRES DE RNAASA,DNAASA Y PIROGENOS. RESISTEN LA ESTERILIZACION EN AUTOCLAVE. SEÑALAR LA MARCA YMODELO DE PIPETA QUE SE VA A EMPLEAR. ENVASE CON MINIMO 500 PIEZAS.</v>
          </cell>
          <cell r="U3584">
            <v>76</v>
          </cell>
          <cell r="V3584">
            <v>187</v>
          </cell>
        </row>
        <row r="3585">
          <cell r="A3585">
            <v>3582</v>
          </cell>
          <cell r="B3585" t="str">
            <v>080.735.1424</v>
          </cell>
          <cell r="E3585" t="str">
            <v>PIPETAS. PUNTA SIN FILTRO PARA PIPETA DE 100 A 1000 MICROLITROS. LIBRES DERNAASA, DNAASA Y PIROGENOS. RESISTEN LA ESTERILIZACION EN AUTOCLAVE. SEÑALAR LAMARCA Y MODELO DE PIPETA QUE SE VA A EMPLEAR. ENVASE CON MINIMO 500 PIEZAS.</v>
          </cell>
          <cell r="U3585">
            <v>296</v>
          </cell>
          <cell r="V3585">
            <v>740</v>
          </cell>
        </row>
        <row r="3586">
          <cell r="A3586">
            <v>3583</v>
          </cell>
          <cell r="B3586" t="str">
            <v>080.760.0029</v>
          </cell>
          <cell r="E3586" t="str">
            <v>OXIMETRO DE PULSO. PORTATIL. OXIMETRO DE PULSO. PORTATIL, ULTRACOMPACTO,INTEGRADO EN UN CLIP QUE SE COLOCA EN EL DEDO DE LA MANO O DEL PIE, PARA USO ENPACIENTES ADOLESCENTES O ADULTOS, EN AMBIENTE HOSPITALARIO Y DOMICILIARIO(AMBULATORIO). CUENTA CON UNA PANTALLA EN LA QUE MUESTRA DE FORMA RAPIDA YPRECISA LA FRECUENCIA CARDIACA Y EL NIVEL DE SATURACION DE OXIGENO, EXPRESADACOMO PORCENTAJE. SATURACION DE OXIGENO ARTERIAL (SPO2) CON UN RANGO DE MEDICIONMINIMO DE 70 A 99%, PRECISION DE +/- 2% EN LA ETAPA DE 70%-99%, SIN ESPECIFICAR(&lt;=70%) RESOLUCION: +/- 1% FRECUENCIA DE PULSO; RANGO DE MEDICION DE 30-240 BPM,PRECISION, +/- 2 BPM, RESOLUCION, +/-1 BPM EQUIPO DE EVALUACIONESPECTROFOTOMETRICA DE LA OXIGENACION DE LA HEMOGLOBINA (SPO2). MIDE LA LUZTRANSMITIDA A TRAVES DEL LECHO CAPILAR, QUE RESULTAN DE LAS PULSACIONES DE LASANGRE ARTERIAL. MODO DE FUNCIONAMIENTO CONTINUO APAGADO AUTOMATICO CUANDO ELDISPOSITIVO ESTA BAJO EL ESTADO DE LA INTERFAZ DE MEDICION OFF, EN 5 SEGUNDOS.INDICADOR DE BATERIA BAJA, QUE SE ACCIONA ANTES DE QUE SE PIERDA ELFUNCIONAMIENTO NORMAL DEL OXIMETRO FUENTE DE ALIMENTACION: PILAS, CON CONSUMO DEENERGIA DE MENOS DE 30 MA. PESO MAXIMO 50GR ESTUCHE PARA GUARDAR OXIMETRO YCORDON DE SUJECION LA LIMPIEZA DE LA SUPERFICIE DEL DISPOSITIVO SE HACE CONALCOHOL QUE EVITA LA CONTAMINACION CRUZADA Y DEBE HACERSE ANTES DE USARSE ENTRECADA PACIENTE. ALMACENAMIENTO; TEMPERATURA AMBIENTE DE -40 GRADOS CENTIGRADOS A60 GRADOS CENTIGRADOS Y NO SUPERIOR AL 95% DE HUMEDAD RELATIVA. PIEZA.</v>
          </cell>
          <cell r="U3586">
            <v>898</v>
          </cell>
          <cell r="V3586">
            <v>2243</v>
          </cell>
        </row>
        <row r="3587">
          <cell r="A3587">
            <v>3584</v>
          </cell>
          <cell r="B3587" t="str">
            <v>080.782.0444</v>
          </cell>
          <cell r="E3587" t="str">
            <v>REACTIVOS QUIMICOS. SOLUCION INDICADORA DE FENOLFTALEINA. VERIFICAR CAMBIOS DEPH. FRASCO CON 25 ML. TA.</v>
          </cell>
          <cell r="U3587">
            <v>27</v>
          </cell>
          <cell r="V3587">
            <v>65</v>
          </cell>
        </row>
        <row r="3588">
          <cell r="A3588">
            <v>3585</v>
          </cell>
          <cell r="B3588" t="str">
            <v>080.783.0831</v>
          </cell>
          <cell r="E3588" t="str">
            <v>REACTIVOS Y JUEGOS DE REACTIVOS PARA PRUEBAS ESPECIFICAS. ALCOHOL ACIDO. PARA LATINCION DE BACILOS ACIDO-ALCOHOL RESISTENTES. FRASCO CON 500 ML. TA.</v>
          </cell>
          <cell r="U3588">
            <v>10895</v>
          </cell>
          <cell r="V3588">
            <v>27234</v>
          </cell>
        </row>
        <row r="3589">
          <cell r="A3589">
            <v>3586</v>
          </cell>
          <cell r="B3589" t="str">
            <v>080.783.0880</v>
          </cell>
          <cell r="E3589" t="str">
            <v>REACTIVOS Y JUEGOS DE REACTIVOS PARA PRUEBAS ESPECIFICAS. CLORURO DE CALCIO0.025 M. FRASCO CON 200 ML. RTC.</v>
          </cell>
          <cell r="U3589">
            <v>81</v>
          </cell>
          <cell r="V3589">
            <v>200</v>
          </cell>
        </row>
        <row r="3590">
          <cell r="A3590">
            <v>3587</v>
          </cell>
          <cell r="B3590" t="str">
            <v>080.783.0930</v>
          </cell>
          <cell r="E3590" t="str">
            <v>SUEROS PARA TIPIFICAR LA SANGRE, MEDIOS PROTEICOS, ENZIMAS Y ANTIGENOS. GLOBULOSROJOS PARA CONTROL DE COOMBS. CONTROL DE PRUEBAS DE COMPATIBILIDAD Y ESTUDIO DEALOANTICUERPOS. FRASCO CON 10 ML. RTC.</v>
          </cell>
          <cell r="U3590">
            <v>28</v>
          </cell>
          <cell r="V3590">
            <v>68</v>
          </cell>
        </row>
        <row r="3591">
          <cell r="A3591">
            <v>3588</v>
          </cell>
          <cell r="B3591" t="str">
            <v>080.783.1284</v>
          </cell>
          <cell r="E3591" t="str">
            <v>REACTIVOS Y JUEGOS DE REACTIVOS PARA PRUEBAS ESPECIFICAS. FUCSINA FENICADA DEZIEHL-NEELSEN PARA TEÑIR BACILOS ACIDO-ALCOHOL RESISTENTES. FRASCO CON 500 ML.TA.</v>
          </cell>
          <cell r="U3591">
            <v>8438</v>
          </cell>
          <cell r="V3591">
            <v>21092</v>
          </cell>
        </row>
        <row r="3592">
          <cell r="A3592">
            <v>3589</v>
          </cell>
          <cell r="B3592" t="str">
            <v>080.783.1482</v>
          </cell>
          <cell r="E3592" t="str">
            <v>REACTIVOS Y JUEGOS DE REACTIVOS PARA PRUEBAS ESPECIFICAS. LIQUIDO DE TURCK. PARACONTAR LEUCOCITOS. FRASCO CON 250 ML. TA.</v>
          </cell>
          <cell r="U3592">
            <v>636</v>
          </cell>
          <cell r="V3592">
            <v>1588</v>
          </cell>
        </row>
        <row r="3593">
          <cell r="A3593">
            <v>3590</v>
          </cell>
          <cell r="B3593" t="str">
            <v>080.783.1490</v>
          </cell>
          <cell r="E3593" t="str">
            <v>REACTIVOS Y JUEGOS DE REACTIVOS PARA PRUEBAS ESPECIFICAS. LIQUIDO PARA CONTARPLAQUETAS. EN MICROSCOPIO DE CAMPO CLARO. FRASCO CON 125 ML. TA.</v>
          </cell>
          <cell r="U3593">
            <v>52</v>
          </cell>
          <cell r="V3593">
            <v>126</v>
          </cell>
        </row>
        <row r="3594">
          <cell r="A3594">
            <v>3591</v>
          </cell>
          <cell r="B3594" t="str">
            <v>080.783.1508</v>
          </cell>
          <cell r="E3594" t="str">
            <v>Reactivos y Juegos de Reactivos para Pruebas Específicas. Lugol. Para tinción de Gram. Frasco con 500 ml.</v>
          </cell>
          <cell r="U3594">
            <v>7358</v>
          </cell>
          <cell r="V3594">
            <v>18392</v>
          </cell>
        </row>
        <row r="3595">
          <cell r="A3595">
            <v>3592</v>
          </cell>
          <cell r="B3595" t="str">
            <v>080.783.1557</v>
          </cell>
          <cell r="E3595" t="str">
            <v>REACTIVOS Y JUEGOS DE REACTIVOS PARA PRUEBAS ESPECIFICAS. REACTIVO DE KOVAC.PARA INVESTIGAR INDOL. FRASCO CON 50 ML. RTC.</v>
          </cell>
          <cell r="U3595">
            <v>449</v>
          </cell>
          <cell r="V3595">
            <v>1121</v>
          </cell>
        </row>
        <row r="3596">
          <cell r="A3596">
            <v>3593</v>
          </cell>
          <cell r="B3596" t="str">
            <v>080.783.1573</v>
          </cell>
          <cell r="E3596" t="str">
            <v>Reactivos y Juegos de Reactivos para Pruebas Específicas. Ácido acético al 5%. Frasco con 500 ml. TA.</v>
          </cell>
          <cell r="U3596">
            <v>17049</v>
          </cell>
          <cell r="V3596">
            <v>42619</v>
          </cell>
        </row>
        <row r="3597">
          <cell r="A3597">
            <v>3594</v>
          </cell>
          <cell r="B3597" t="str">
            <v>080.783.1581</v>
          </cell>
          <cell r="E3597" t="str">
            <v>REACTIVOS Y JUEGOS DE REACTIVOS PARA PRUEBAS ESPECIFICAS. ACIDO SULFOSALICILICOAL 3%. FRASCO CON 200 ML. TA.</v>
          </cell>
          <cell r="U3597">
            <v>309</v>
          </cell>
          <cell r="V3597">
            <v>771</v>
          </cell>
        </row>
        <row r="3598">
          <cell r="A3598">
            <v>3595</v>
          </cell>
          <cell r="B3598" t="str">
            <v>080.783.1896</v>
          </cell>
          <cell r="E3598" t="str">
            <v>REACTIVOS QUIMICOS. SAL DISODICA DEL ACIDO ETILENDIAMINOTETRACETICO. (VERSENATODE SODIO, EDTA) SOLUCION AL 10%. ANTICOAGULANTE GENERAL. FRASCO CON 500 ML.</v>
          </cell>
          <cell r="U3598">
            <v>8</v>
          </cell>
          <cell r="V3598">
            <v>18</v>
          </cell>
        </row>
        <row r="3599">
          <cell r="A3599">
            <v>3596</v>
          </cell>
          <cell r="B3599" t="str">
            <v>080.783.1987</v>
          </cell>
          <cell r="E3599" t="str">
            <v>REACTIVOS Y JUEGOS DE REACTIVOS PARA PRUEBAS ESPECIFICAS. CITRATO DE SODIO AL3.8%. ANTICOAGULANTE PARA PRUEBAS DE PROTROMBINA. FRASCO CON 200 ML. RTC.</v>
          </cell>
          <cell r="U3599">
            <v>78</v>
          </cell>
          <cell r="V3599">
            <v>192</v>
          </cell>
        </row>
        <row r="3600">
          <cell r="A3600">
            <v>3597</v>
          </cell>
          <cell r="B3600" t="str">
            <v>080.783.2258</v>
          </cell>
          <cell r="E3600" t="str">
            <v>REACTIVOS Y JUEGOS DE REACTIVOS PARA PRUEBAS ESPECIFICAS. ALCOHOL-ACETONA. PARALA TINCION DE GRAM. FRASCO CON 500 ML. TA.</v>
          </cell>
          <cell r="U3600">
            <v>7953</v>
          </cell>
          <cell r="V3600">
            <v>19880</v>
          </cell>
        </row>
        <row r="3601">
          <cell r="A3601">
            <v>3598</v>
          </cell>
          <cell r="B3601" t="str">
            <v>080.783.4106</v>
          </cell>
          <cell r="E3601" t="str">
            <v>REACTIVOS QUIMICOS. TIOSULFITO DE SODIO. FRASCO CON 500 G. TA.</v>
          </cell>
          <cell r="U3601">
            <v>18</v>
          </cell>
          <cell r="V3601">
            <v>43</v>
          </cell>
        </row>
        <row r="3602">
          <cell r="A3602">
            <v>3599</v>
          </cell>
          <cell r="B3602" t="str">
            <v>080.783.4239</v>
          </cell>
          <cell r="E3602" t="str">
            <v>SUSTANCIAS BIOLOGICAS. ENOLASA NEURONAL ESPECIFICA. FRASCO CON 1 ML. RTC.</v>
          </cell>
          <cell r="U3602">
            <v>48</v>
          </cell>
          <cell r="V3602">
            <v>119</v>
          </cell>
        </row>
        <row r="3603">
          <cell r="A3603">
            <v>3600</v>
          </cell>
          <cell r="B3603" t="str">
            <v>080.783.4247</v>
          </cell>
          <cell r="E3603" t="str">
            <v>SUSTANCIAS BIOLOGICAS. CROMOGRANINA. FRASCO CON 1 ML. TA.</v>
          </cell>
          <cell r="U3603">
            <v>58</v>
          </cell>
          <cell r="V3603">
            <v>143</v>
          </cell>
        </row>
        <row r="3604">
          <cell r="A3604">
            <v>3601</v>
          </cell>
          <cell r="B3604" t="str">
            <v>080.783.4254</v>
          </cell>
          <cell r="E3604" t="str">
            <v>SUSTANCIAS BIOLOGICAS. PROTEINA DE NEUROFILAMENTOS. FRASCO CON 1 ML. RTC.</v>
          </cell>
          <cell r="U3604">
            <v>29</v>
          </cell>
          <cell r="V3604">
            <v>71</v>
          </cell>
        </row>
        <row r="3605">
          <cell r="A3605">
            <v>3602</v>
          </cell>
          <cell r="B3605" t="str">
            <v>080.783.4262</v>
          </cell>
          <cell r="E3605" t="str">
            <v>SUSTANCIAS BIOLOGICAS. SINAFTOFISINA. FRASCO CON 1 ML. RTC.</v>
          </cell>
          <cell r="U3605">
            <v>48</v>
          </cell>
          <cell r="V3605">
            <v>119</v>
          </cell>
        </row>
        <row r="3606">
          <cell r="A3606">
            <v>3603</v>
          </cell>
          <cell r="B3606" t="str">
            <v>080.783.4270</v>
          </cell>
          <cell r="E3606" t="str">
            <v>SUSTANCIAS BIOLOGICAS. QUERATINA DE AMPLIO ESPECTRO. FRASCO CON 1 ML. RTC.</v>
          </cell>
          <cell r="U3606">
            <v>39</v>
          </cell>
          <cell r="V3606">
            <v>95</v>
          </cell>
        </row>
        <row r="3607">
          <cell r="A3607">
            <v>3604</v>
          </cell>
          <cell r="B3607" t="str">
            <v>080.783.4429</v>
          </cell>
          <cell r="E3607" t="str">
            <v>SUSTANCIAS BIOLOGICAS. COMPLEJO PEROXIDASA-ANTIPEROXIDASA DE RATON. FRASCO CON 1ML. RTC.</v>
          </cell>
          <cell r="U3607">
            <v>20</v>
          </cell>
          <cell r="V3607">
            <v>47</v>
          </cell>
        </row>
        <row r="3608">
          <cell r="A3608">
            <v>3605</v>
          </cell>
          <cell r="B3608" t="str">
            <v>080.783.4452</v>
          </cell>
          <cell r="E3608" t="str">
            <v>REACTIVOS QUIMICOS. CROMOGENO 3.3 DIAMINO BENCIDINA TETRAHIDROCLORURO. RA.FRASCO CON 5 G. TA.</v>
          </cell>
          <cell r="U3608">
            <v>84</v>
          </cell>
          <cell r="V3608">
            <v>209</v>
          </cell>
        </row>
        <row r="3609">
          <cell r="A3609">
            <v>3606</v>
          </cell>
          <cell r="B3609" t="str">
            <v>080.783.4502</v>
          </cell>
          <cell r="E3609" t="str">
            <v>REACTIVOS QUIMICOS. TRICLOROETILENO. FRASCO CON 1000 ML. TA.</v>
          </cell>
          <cell r="U3609">
            <v>21</v>
          </cell>
          <cell r="V3609">
            <v>51</v>
          </cell>
        </row>
        <row r="3610">
          <cell r="A3610">
            <v>3607</v>
          </cell>
          <cell r="B3610" t="str">
            <v>080.783.4536</v>
          </cell>
          <cell r="E3610" t="str">
            <v>REACTIVOS Y JUEGOS DE REACTIVOS PARA PRUEBAS ESPECIFICAS. PARA DETERMINACION DESUBPOBLACIONES DE LINFOCITOS T4-T8. PARA 25 PRUEBAS. RTC.</v>
          </cell>
          <cell r="U3610">
            <v>1481</v>
          </cell>
          <cell r="V3610">
            <v>3701</v>
          </cell>
        </row>
        <row r="3611">
          <cell r="A3611">
            <v>3608</v>
          </cell>
          <cell r="B3611" t="str">
            <v>080.783.4668</v>
          </cell>
          <cell r="E3611" t="str">
            <v>SUSTANCIAS BIOLOGICAS. CELULAS TIPADAS A1, A2, B Y O. FRASCO CON 5 ML. POR GRUPOSANGUINEO. RTC.</v>
          </cell>
          <cell r="U3611">
            <v>180</v>
          </cell>
          <cell r="V3611">
            <v>446</v>
          </cell>
        </row>
        <row r="3612">
          <cell r="A3612">
            <v>3609</v>
          </cell>
          <cell r="B3612" t="str">
            <v>080.783.4809</v>
          </cell>
          <cell r="E3612" t="str">
            <v>REACTIVOS Y JUEGOS DE REACTIVOS PARA PRUEBAS ESPECIFICAS. REACTIVO PARA LASEPARACION DE LINFOCITOS B, POR ANTICUERPOS MONOCLONALES. FRASCO CON 50 ML. RTC.</v>
          </cell>
          <cell r="U3612">
            <v>68</v>
          </cell>
          <cell r="V3612">
            <v>168</v>
          </cell>
        </row>
        <row r="3613">
          <cell r="A3613">
            <v>3610</v>
          </cell>
          <cell r="B3613" t="str">
            <v>080.783.4833</v>
          </cell>
          <cell r="E3613" t="str">
            <v>REACTIVOS QUIMICOS. DL-DITIOTREITOL. CON PUNTO DE FUSION 40 GRADOS CENTIGRADOS.CRISTALINO. FRASCO CON 10 G. TA.</v>
          </cell>
          <cell r="U3613">
            <v>7</v>
          </cell>
          <cell r="V3613">
            <v>15</v>
          </cell>
        </row>
        <row r="3614">
          <cell r="A3614">
            <v>3611</v>
          </cell>
          <cell r="B3614" t="str">
            <v>080.783.5095</v>
          </cell>
          <cell r="E3614" t="str">
            <v>JARRAS. MEZCLA REACTIVA PARA GENERAR ANAEROBIOSIS: CON LA ADICION DE AGUA GENERAUNA ATMOSFERA ANAEROBICA ESTRICTA (4 HORAS), PARA EL CULTIVO DE MICROORGANISMOSANAEROBIOS EXIGENTES, EN JARRA PARA ANAEROBIOS DE 2.5 LITROS. NO REQUIERECATALIZADOR. SOBRE. CAJA CON 10. TA.</v>
          </cell>
          <cell r="U3614">
            <v>132</v>
          </cell>
          <cell r="V3614">
            <v>328</v>
          </cell>
        </row>
        <row r="3615">
          <cell r="A3615">
            <v>3612</v>
          </cell>
          <cell r="B3615" t="str">
            <v>080.783.7927</v>
          </cell>
          <cell r="E3615" t="str">
            <v>REACTIVOS Y JUEGOS DE REACTIVOS PARA PRUEBAS ESPECIFICAS. REACTIVO DE ERLICH.FRASCO GOTERO CON 50 ML. TA.</v>
          </cell>
          <cell r="U3615">
            <v>50</v>
          </cell>
          <cell r="V3615">
            <v>124</v>
          </cell>
        </row>
        <row r="3616">
          <cell r="A3616">
            <v>3613</v>
          </cell>
          <cell r="B3616" t="str">
            <v>080.783.7950</v>
          </cell>
          <cell r="E3616" t="str">
            <v>SUSTANCIAS BIOLOGICAS. DIOXINUCLEOTIDILTRANSFERASA TERMINAL (TDT). FRASCO CON 1ML. RTC.</v>
          </cell>
          <cell r="U3616">
            <v>10</v>
          </cell>
          <cell r="V3616">
            <v>23</v>
          </cell>
        </row>
        <row r="3617">
          <cell r="A3617">
            <v>3614</v>
          </cell>
          <cell r="B3617" t="str">
            <v>080.783.8131</v>
          </cell>
          <cell r="E3617" t="str">
            <v>REACTIVOS QUIMICOS. REACTIVO DE DICLORO DE TETRAMETIL P-FENILENDIAMINA, PARAPRUEBA DE OXIDASA. FRASCO CON 50 DISCOS. RTC.</v>
          </cell>
          <cell r="U3617">
            <v>130</v>
          </cell>
          <cell r="V3617">
            <v>324</v>
          </cell>
        </row>
        <row r="3618">
          <cell r="A3618">
            <v>3615</v>
          </cell>
          <cell r="B3618" t="str">
            <v>080.783.8206</v>
          </cell>
          <cell r="E3618" t="str">
            <v>SUSTANCIAS BIOLOGICAS. PEPSINA PARA HIBRIDACION IN SITU. SEIS PAQUETES DE 2 G.CADA UNO PARA PREPARAR 230 ML DE SOLUCION. JUEGO. RTC.</v>
          </cell>
          <cell r="U3618">
            <v>2</v>
          </cell>
          <cell r="V3618">
            <v>2</v>
          </cell>
        </row>
        <row r="3619">
          <cell r="A3619">
            <v>3616</v>
          </cell>
          <cell r="B3619" t="str">
            <v>080.783.8248</v>
          </cell>
          <cell r="E3619" t="str">
            <v>SUSTANCIAS BIOLOGICAS. FITOHEMAGLUTININA TIPO M. FRASCO CON 25 ML. RTC.</v>
          </cell>
          <cell r="U3619">
            <v>28</v>
          </cell>
          <cell r="V3619">
            <v>66</v>
          </cell>
        </row>
        <row r="3620">
          <cell r="A3620">
            <v>3617</v>
          </cell>
          <cell r="B3620" t="str">
            <v>080.784.0467</v>
          </cell>
          <cell r="E3620" t="str">
            <v>PRUEBAS RAPIDAS. GONADOTROFINA CORIONICA FRACCION BETA. PRUEBA RAPIDACUALITATIVA DE UN SOLO PASO EN MEMBRANA SOLIDA PARA DETERMINACION EN ORINA OSUERO EN SOBRE INDIVIDUAL SENSIBILIDAD: 20 MUI/ML. A 25 MUI/ML. EQUIPO. PRUEBAEN CARTUCHO DE PLASTICO CON PIPETA DESECHABLE. EQUIPO CON CONTROL POSITIVO YNEGATIVO PARA MULTIPLES PRUEBAS. EQUIPO PARA MULTIPLOS DE 10, MINIMO 10, MAXIMO100 PRUEBAS. TATC.</v>
          </cell>
          <cell r="U3620">
            <v>22218</v>
          </cell>
          <cell r="V3620">
            <v>55542</v>
          </cell>
        </row>
        <row r="3621">
          <cell r="A3621">
            <v>3618</v>
          </cell>
          <cell r="B3621" t="str">
            <v>080.784.0756</v>
          </cell>
          <cell r="E3621" t="str">
            <v>REACTIVOS Y JUEGOS DE REACTIVOS PARA PRUEBAS ESPECIFICAS. COOMBS MONOESPECIFICODE TIPO IGG. FRASCO CON 10 ML. RTC.</v>
          </cell>
          <cell r="U3621">
            <v>20</v>
          </cell>
          <cell r="V3621">
            <v>50</v>
          </cell>
        </row>
        <row r="3622">
          <cell r="A3622">
            <v>3619</v>
          </cell>
          <cell r="B3622" t="str">
            <v>080.784.0764</v>
          </cell>
          <cell r="E3622" t="str">
            <v>REACTIVOS Y JUEGOS DE REACTIVOS PARA PRUEBAS ESPECIFICAS. COOMBS MONOESPECIFICODE TIPO IGM. FRASCO CON 10 ML. RTC.</v>
          </cell>
          <cell r="U3622">
            <v>70</v>
          </cell>
          <cell r="V3622">
            <v>173</v>
          </cell>
        </row>
        <row r="3623">
          <cell r="A3623">
            <v>3620</v>
          </cell>
          <cell r="B3623" t="str">
            <v>080.784.0772</v>
          </cell>
          <cell r="E3623" t="str">
            <v>REACTIVOS Y JUEGOS DE REACTIVOS PARA PRUEBAS ESPECIFICAS. COOMBS MONOESPECIFICODE TIPO C3D. FRASCO CON 3 ML. RTC.</v>
          </cell>
          <cell r="U3623">
            <v>199</v>
          </cell>
          <cell r="V3623">
            <v>495</v>
          </cell>
        </row>
        <row r="3624">
          <cell r="A3624">
            <v>3621</v>
          </cell>
          <cell r="B3624" t="str">
            <v>080.784.1374</v>
          </cell>
          <cell r="E3624" t="str">
            <v>REACTIVOS Y JUEGOS DE REACTIVOS PARA PRUEBAS ESPECIFICAS. PRUEBA RAPIDA DE UNSOLO PASO PARA LA DETERMINACION DEL ANTIGENO DE SUPERFICIE DEL VIRUS DE LAHEPATITIS B (HBSAG) EN FASE DE MEMBRANA SOLIDA. PARA 50 PRUEBAS. RTC.</v>
          </cell>
          <cell r="U3624">
            <v>2418</v>
          </cell>
          <cell r="V3624">
            <v>6044</v>
          </cell>
        </row>
        <row r="3625">
          <cell r="A3625">
            <v>3622</v>
          </cell>
          <cell r="B3625" t="str">
            <v>080.784.7512</v>
          </cell>
          <cell r="E3625" t="str">
            <v>PRUEBAS RAPIDAS. PRUEBA INMUNOENZIMATICA RAPIDA, CUALITATIVA EN ORINA, ENTARJETA CON 5 TIRAS PARA DETECCION SIMULTANEA DE COCAINA, MARIHUANA (THC),ANFETAMINAS, OPIACEOS Y METANFETAMINAS EN ESTUCHE. EL ESTUCHE INCLUYE: VASO DEPLASTICO TRANSLUCIDO CON TERMOMETRO DE 32 GRADOS CENTIGRADOS A 38 GRADOSCENTIGRADOS INTEGRADO, FRASCO DE PLASTICO CON TAPA DE CERRADO HERMETICO CONCAPACIDAD DE 50 ML. Y ETIQUETA DE ALTA ADHERENCIA. ESTUCHE PARA 5 PRUEBAS. TATC.</v>
          </cell>
          <cell r="U3625">
            <v>1572</v>
          </cell>
          <cell r="V3625">
            <v>3926</v>
          </cell>
        </row>
        <row r="3626">
          <cell r="A3626">
            <v>3623</v>
          </cell>
          <cell r="B3626" t="str">
            <v>080.784.7637</v>
          </cell>
          <cell r="E3626" t="str">
            <v>SUSTANCIAS BIOLOGICAS, ANTIGENOS, SUEROS. PROTEINA HER2. DETERMINACIONSEMICUANTITATIVA POR METODO INMUNOHISTOQUIMICO, DE LA SOBREEXPRESION EN TEJIDOS.INCLUYE CONTROL NEGATIVO, LAMINILLAS DE CONTROL, REACTIVOS Y SOLUCIONES. PARAMINIMO 35 PRUEBAS. RTC.</v>
          </cell>
          <cell r="U3626">
            <v>86</v>
          </cell>
          <cell r="V3626">
            <v>213</v>
          </cell>
        </row>
        <row r="3627">
          <cell r="A3627">
            <v>3624</v>
          </cell>
          <cell r="B3627" t="str">
            <v>080.784.7645</v>
          </cell>
          <cell r="E3627" t="str">
            <v>SUSTANCIAS BIOLOGICAS, ANTIGENOS, SUEROS. PROTEINA HER2. DETERMINACIONSEMICUANTITATIVA POR METODO INMUNOHISTOQUIMICO, DE LA SOBREEXPRESION EN TEJIDOS.INCLUYE CONTROL NEGATIVO, LAMINILLAS DE CONTROL, REACTIVOS Y SOLUCIONES. PARAMINIMO 100 PRUEBAS. RTC.</v>
          </cell>
          <cell r="U3627">
            <v>29</v>
          </cell>
          <cell r="V3627">
            <v>71</v>
          </cell>
        </row>
        <row r="3628">
          <cell r="A3628">
            <v>3625</v>
          </cell>
          <cell r="B3628" t="str">
            <v>080.784.7793</v>
          </cell>
          <cell r="E3628" t="str">
            <v>REACTIVOS Y JUEGOS DE REACTIVOS PARA PRUEBAS ESPECIFICAS. EQUIPO PARA ELUSIONACIDA DE IGG DE LOS GLOBULOS ROJOS, QUE PERMITA LA REALIZACION DE FENOTIPO DELERITROCITO POSTELUIDO SIN DESNATURALIZAR EL ANTICUERPO. EQUIPO PARA MINIMO 20PRUEBAS.</v>
          </cell>
          <cell r="U3628">
            <v>18</v>
          </cell>
          <cell r="V3628">
            <v>44</v>
          </cell>
        </row>
        <row r="3629">
          <cell r="A3629">
            <v>3626</v>
          </cell>
          <cell r="B3629" t="str">
            <v>080.784.7801</v>
          </cell>
          <cell r="E3629" t="str">
            <v>REACTIVOS Y JUEGOS DE REACTIVOS PARA PRUEBAS ESPECIFICAS. EQUIPO PARA LADETERMINACION DE ANTICUERPOS ANTIPLAQUETAS HLA Y ANTIGENOS ESPECIFICOSPLAQUETARIOS. EQUIPO PARA MINIMO 5 PRUEBAS.</v>
          </cell>
          <cell r="U3629">
            <v>10</v>
          </cell>
          <cell r="V3629">
            <v>24</v>
          </cell>
        </row>
        <row r="3630">
          <cell r="A3630">
            <v>3627</v>
          </cell>
          <cell r="B3630" t="str">
            <v>080.784.8007</v>
          </cell>
          <cell r="E3630" t="str">
            <v>PRUEBAS RÁPIDAS. Reactivo para la determinación cromatográfica, cualitativa de anticuerpos contra VIH tipo 1 y 2 y Treponema pallidum. Cada sobre contiene: -Cartucho de prueba. -Un bulbo de plástico con regulador de corrimiento. -Un bulbo de plástico vacío (pipeta para toma de muestra). -Una lanceta retráctil con 3 niveles de punción. Caja para mínimo 10 sobres. Con sensibilidad igual o superior al 99% y especificidad igual o superior al 98% para VIH y sensibilidad no menor al 95% y una especificidad no menor al 98% para sífilis, de acuerdo con el certificado de evaluación diagnóstica del Instituto de Diagnóstico y Referencia Epidemiológicos, o en su caso algún otro organismo internacional como la FDA, EMA o la Organización Mundial de la Salud.</v>
          </cell>
          <cell r="U3630">
            <v>83567</v>
          </cell>
          <cell r="V3630">
            <v>208917</v>
          </cell>
        </row>
        <row r="3631">
          <cell r="A3631">
            <v>3628</v>
          </cell>
          <cell r="B3631" t="str">
            <v>080.785.1571</v>
          </cell>
          <cell r="E3631" t="str">
            <v>CONTROLES Y ESTANDARES. IN-OCTEOTRIDE DOS FRASCOS: UNO CON OCTEOTRIDELIOFILIZADO Y OTRO CON CLORURO DE INDIO 111. AMBOS FRASCOS HERMETICAMENTECERRADOS Y CON BLINDAJE ADECUADO. ENVASE. RTC.</v>
          </cell>
          <cell r="U3631">
            <v>310</v>
          </cell>
          <cell r="V3631">
            <v>774</v>
          </cell>
        </row>
        <row r="3632">
          <cell r="A3632">
            <v>3629</v>
          </cell>
          <cell r="B3632" t="str">
            <v>080.823.0130</v>
          </cell>
          <cell r="E3632" t="str">
            <v>SOLUCIONES AMORTIGUADORAS. SOLUCION AMORTIGUADORA PARA LA TINCION DE WRIGHT.FRASCO CON 100 ML. 5 ML SE DILUYEN A UN LITRO. RTC.</v>
          </cell>
          <cell r="U3632">
            <v>1915</v>
          </cell>
          <cell r="V3632">
            <v>4785</v>
          </cell>
        </row>
        <row r="3633">
          <cell r="A3633">
            <v>3630</v>
          </cell>
          <cell r="B3633" t="str">
            <v>080.823.2052</v>
          </cell>
          <cell r="E3633" t="str">
            <v>REACTIVOS Y JUEGOS DE REACTIVOS PARA PRUEBAS ESPECIFICAS. HYPAQUE-FICOLL,SOLUCION SEPARADORA DE LINFOCITOS HUMANOS. DENSIDAD 1.077. FRASCO CON 500 ML.TA.</v>
          </cell>
          <cell r="U3633">
            <v>202</v>
          </cell>
          <cell r="V3633">
            <v>504</v>
          </cell>
        </row>
        <row r="3634">
          <cell r="A3634">
            <v>3631</v>
          </cell>
          <cell r="B3634" t="str">
            <v>080.823.2060</v>
          </cell>
          <cell r="E3634" t="str">
            <v>MEDIOS DE CULTIVO, COMPLEMENTOS. SOLUCION SALINA BALANCEADA DE HANKS EN MEDIOLIQUIDO. FRASCO CON 500 ML. RTC.</v>
          </cell>
          <cell r="U3634">
            <v>1191</v>
          </cell>
          <cell r="V3634">
            <v>2976</v>
          </cell>
        </row>
        <row r="3635">
          <cell r="A3635">
            <v>3632</v>
          </cell>
          <cell r="B3635" t="str">
            <v>080.823.6228</v>
          </cell>
          <cell r="E3635" t="str">
            <v>REACTIVOS QUIMICOS. OXIDO DE PROPILENO. SOLVENTE DE RESINA PARA FACILITAR LAINCLUSION DE LA MUESTRA PARA MICROSCOPIA ELECTRONICA. ENVASE CON 1000 ML.</v>
          </cell>
          <cell r="U3635">
            <v>12</v>
          </cell>
          <cell r="V3635">
            <v>26</v>
          </cell>
        </row>
        <row r="3636">
          <cell r="A3636">
            <v>3633</v>
          </cell>
          <cell r="B3636" t="str">
            <v>080.823.6236</v>
          </cell>
          <cell r="E3636" t="str">
            <v>SOLUCIONES. FLUORESCEINA SOLUCION INYECTABLE. CADA ML CONTIENE: FLUORESCEINASODICA 100 MG. TATC. ENVASE CON UNA AMPOLLETA Y/O FRASCO AMPULA DE 5 ML.</v>
          </cell>
          <cell r="U3636">
            <v>15512</v>
          </cell>
          <cell r="V3636">
            <v>38780</v>
          </cell>
        </row>
        <row r="3637">
          <cell r="A3637">
            <v>3634</v>
          </cell>
          <cell r="B3637" t="str">
            <v>080.823.6244</v>
          </cell>
          <cell r="E3637" t="str">
            <v>REACTIVOS QUIMICOS. RESINA EPOXICA ALIFATICA, BASADA EN DI O TRI GLICIDILETERESDE GLICEROL (EPON 812). FRASCO CON 450 ML. TA.</v>
          </cell>
          <cell r="U3637">
            <v>10</v>
          </cell>
          <cell r="V3637">
            <v>24</v>
          </cell>
        </row>
        <row r="3638">
          <cell r="A3638">
            <v>3635</v>
          </cell>
          <cell r="B3638" t="str">
            <v>080.823.6651</v>
          </cell>
          <cell r="E3638" t="str">
            <v>Tiras. Papeles estériles Cada tira de papel contiene: Fluoresceína sódica 1 mg. TATC. Envase con 200 tiras estériles.</v>
          </cell>
          <cell r="U3638">
            <v>3020</v>
          </cell>
          <cell r="V3638">
            <v>7546</v>
          </cell>
        </row>
        <row r="3639">
          <cell r="A3639">
            <v>3636</v>
          </cell>
          <cell r="B3639" t="str">
            <v>080.825.0062</v>
          </cell>
          <cell r="E3639" t="str">
            <v>RADIOFARMACOS Y GENERADORES DE RADIONUCLIDOS. IN111-CLORURO DE INDIO.RADIOFARMACO CON PUREZA RADIOQUIMICA IGUAL O MAYOR AL 95% Y ACTIVIDAD ESPECIFICADE 111 MEGABECQUERELES (MBQ). FRASCO. TATC.</v>
          </cell>
          <cell r="U3639">
            <v>86</v>
          </cell>
          <cell r="V3639">
            <v>214</v>
          </cell>
        </row>
        <row r="3640">
          <cell r="A3640">
            <v>3637</v>
          </cell>
          <cell r="B3640" t="str">
            <v>080.825.0153</v>
          </cell>
          <cell r="E3640" t="str">
            <v>RADIOFARMACOS Y GENERADORES DE RADIONUCLIDOS. I131-YODO NORCOLESTEROL.RADIOFARMACO CON PUREZA RADIOQUIMICA IGUAL O MAYOR AL 95% Y ACTIVIDAD ESPECIFICADE 222 MEGABECQUERELES (MBQ). FRASCO. TATC.</v>
          </cell>
          <cell r="U3640">
            <v>30</v>
          </cell>
          <cell r="V3640">
            <v>72</v>
          </cell>
        </row>
        <row r="3641">
          <cell r="A3641">
            <v>3638</v>
          </cell>
          <cell r="B3641" t="str">
            <v>080.825.0427</v>
          </cell>
          <cell r="E3641" t="str">
            <v>RADIOFARMACOS Y GENERADORES DE RADIONUCLIDOS. NORCOLESTEROL I113 (YODO113).ESTUCHE. RTC.</v>
          </cell>
          <cell r="U3641">
            <v>2</v>
          </cell>
          <cell r="V3641">
            <v>2</v>
          </cell>
        </row>
        <row r="3642">
          <cell r="A3642">
            <v>3639</v>
          </cell>
          <cell r="B3642" t="str">
            <v>080.825.0781</v>
          </cell>
          <cell r="E3642" t="str">
            <v>PRECURSORES DE RADIOFARMACOS. HIDROXIMETILDIFOSFONATOS (HMDP). SUSTANCIA NORADIOACTIVA QUE SE UTILIZA PARA LA PREPARACION DE RADIOFARMACOS. QUE SE PUEDEMARCAR CON ACTIVIDAD IGUAL O MAYOR A 3700 MEGABECQUERELES (MBQ) POR FRASCO.ESTUCHE CON 5 FRASCOS. RTC.</v>
          </cell>
          <cell r="U3642">
            <v>248</v>
          </cell>
          <cell r="V3642">
            <v>616</v>
          </cell>
        </row>
        <row r="3643">
          <cell r="A3643">
            <v>3640</v>
          </cell>
          <cell r="B3643" t="str">
            <v>080.825.0864</v>
          </cell>
          <cell r="E3643" t="str">
            <v>RADIOFARMACOS Y GENERADORES DE RADIONUCLIDOS. GA67-CITRATO DE GALIO.RADIOFARMACO DE ORIGEN CON PUREZA RADIOQUIMICA IGUAL O MAYOR AL 90% Y ACTIVIDADESPECIFICA DE 222 MEGABEQUERELES (MBQ). FRASCO. TATC.</v>
          </cell>
          <cell r="U3643">
            <v>48</v>
          </cell>
          <cell r="V3643">
            <v>120</v>
          </cell>
        </row>
        <row r="3644">
          <cell r="A3644">
            <v>3641</v>
          </cell>
          <cell r="B3644" t="str">
            <v>080.825.0872</v>
          </cell>
          <cell r="E3644" t="str">
            <v>RADIOFARMACOS Y GENERADORES DE RADIONUCLIDOS. GA67-CITRATO DE GALIO.RADIOFARMACO DE ORIGEN CON PUREZA RADIOQUIMICA IGUAL O MAYOR AL 90% Y ACTIVIDADESPECIFICA DE 444 MEGABEQUERELES (MBQ). FRASCO. TATC.</v>
          </cell>
          <cell r="U3644">
            <v>56</v>
          </cell>
          <cell r="V3644">
            <v>136</v>
          </cell>
        </row>
        <row r="3645">
          <cell r="A3645">
            <v>3642</v>
          </cell>
          <cell r="B3645" t="str">
            <v>080.825.0880</v>
          </cell>
          <cell r="E3645" t="str">
            <v>RADIOFARMACOS Y GENERADORES DE RADIONUCLIDOS. GA67-CITRATO DE GALIO.RADIOFARMACO DE ORIGEN CON PUREZA RADIOQUIMICA IGUAL O MAYOR AL 90% DE ACTIVIDADY ACTIVIDAD ESPECIFICA DE 333 MEGABEQUERELES (MBQ). FRASCO. TATC.</v>
          </cell>
          <cell r="U3645">
            <v>136</v>
          </cell>
          <cell r="V3645">
            <v>336</v>
          </cell>
        </row>
        <row r="3646">
          <cell r="A3646">
            <v>3643</v>
          </cell>
          <cell r="B3646" t="str">
            <v>080.825.0898</v>
          </cell>
          <cell r="E3646" t="str">
            <v>RADIOFARMACOS Y GENERADORES DE RADIONUCLIDOS. TI201-CLORURO DE TALIO.RADIOFARMACO DE ORIGEN CON PUREZA QUIMICA IGUAL O MAYOR AL 90% Y ACTIVIDADESPECIFICA DE 37 MEGABEQUERELES (MBQ). FRASCO. TATC.</v>
          </cell>
          <cell r="U3646">
            <v>1784</v>
          </cell>
          <cell r="V3646">
            <v>4456</v>
          </cell>
        </row>
        <row r="3647">
          <cell r="A3647">
            <v>3644</v>
          </cell>
          <cell r="B3647" t="str">
            <v>080.825.0906</v>
          </cell>
          <cell r="E3647" t="str">
            <v>RADIOFARMACOS Y GENERADORES DE RADIONUCLIDOS. TI201-CLORURO DE TALIO.RADIOFARMACO DE ORIGEN CON PUREZA QUIMICA IGUAL O MAYOR AL 90% Y ACTIVIDADESPECIFICA DE 111 MEGABEQUERELES (MBQ). FRASCO. TATC.</v>
          </cell>
          <cell r="U3647">
            <v>560</v>
          </cell>
          <cell r="V3647">
            <v>1396</v>
          </cell>
        </row>
        <row r="3648">
          <cell r="A3648">
            <v>3645</v>
          </cell>
          <cell r="B3648" t="str">
            <v>080.825.0922</v>
          </cell>
          <cell r="E3648" t="str">
            <v>RADIOFARMACOS Y GENERADORES DE RADIONUCLIDOS. TI201-CLORURO DE TALIO (TI).RADIOFARMACO DE ORIGEN CON PUREZA QUIMICA IGUAL O MAYOR AL 90% Y ACTIVIDADESPECIFICA DE 444 MEGABEQUERELES (MBQ). FRASCO. TATC.</v>
          </cell>
          <cell r="U3648">
            <v>560</v>
          </cell>
          <cell r="V3648">
            <v>1400</v>
          </cell>
        </row>
        <row r="3649">
          <cell r="A3649">
            <v>3646</v>
          </cell>
          <cell r="B3649" t="str">
            <v>080.825.0948</v>
          </cell>
          <cell r="E3649" t="str">
            <v>RADIOFARMACOS Y GENERADORES DE RADIONUCLIDOS. Y90-CLORURO DE ITRIO. RADIOFARMACOCON PUREZA RADIOQUIMICA IGUAL O MAYOR AL 90% Y ACTIVIDAD ESPECIFICA DE 370MEGABECQUERELES (MBQ). FRASCO. TATC.</v>
          </cell>
          <cell r="U3649">
            <v>12</v>
          </cell>
          <cell r="V3649">
            <v>30</v>
          </cell>
        </row>
        <row r="3650">
          <cell r="A3650">
            <v>3647</v>
          </cell>
          <cell r="B3650" t="str">
            <v>080.825.0955</v>
          </cell>
          <cell r="E3650" t="str">
            <v>PRECURSORES DE RADIOFARMACOS. DIMERO DE ETILENCISTEINA (ECD). SUSTANCIA NORADIOACTIVA QUE SE UTILIZA PARA LA PREPARACION DE RADIOFARMACOS, QUE SE PUEDEMARCAR CON ACTIVIDAD IGUAL O MAYOR A 3700 MEGABECQUERELES (MBQ). ESTUCHE. RTC.</v>
          </cell>
          <cell r="U3650">
            <v>170</v>
          </cell>
          <cell r="V3650">
            <v>422</v>
          </cell>
        </row>
        <row r="3651">
          <cell r="A3651">
            <v>3648</v>
          </cell>
          <cell r="B3651" t="str">
            <v>080.825.0963</v>
          </cell>
          <cell r="E3651" t="str">
            <v>RADIOFARMACOS Y GENERADORES DE RADIONUCLIDOS. ETIL HIDROXIMETIL DIFOSFONATO(EDTMP) MARCADO CON SM153-SAMARIO153. SUSTANCIA RADIOACTIVA QUE SE UTILIZA ENTRATAMIENTO. RADIOFARMACO CON PUREZA RADIOQUIMICA IGUAL O MAYOR AL 95% YACTIVIDAD DE 3700 MEGABECQUERELES (MBQ). FRASCO. TATC.</v>
          </cell>
          <cell r="U3651">
            <v>100</v>
          </cell>
          <cell r="V3651">
            <v>248</v>
          </cell>
        </row>
        <row r="3652">
          <cell r="A3652">
            <v>3649</v>
          </cell>
          <cell r="B3652" t="str">
            <v>080.825.0989</v>
          </cell>
          <cell r="E3652" t="str">
            <v>RADIOFARMACOS Y GENERADORES DE RADIONUCLIDOS. GENERADOR DE MO99(MOLIBDENO)-TC99M (TECNECIO) CON BLINDAJE DE PLOMO, MINIMO 50 MM DE ESPESORALREDEDOR DE LA COLUMNA, PARA OBTENER ELUSION DE TC99M CON RENDIMIENTO DE TC99-MDE 100%. RADIOFARMACO CON PUREZA RADIOQUIMICA IGUAL O MAYOR AL 98% Y ACTIVIDADESPECIFICA DE 18.5 GIGABECQUERELES (GBQ). EQUIPO. TATC.</v>
          </cell>
          <cell r="U3652">
            <v>346</v>
          </cell>
          <cell r="V3652">
            <v>864</v>
          </cell>
        </row>
        <row r="3653">
          <cell r="A3653">
            <v>3650</v>
          </cell>
          <cell r="B3653" t="str">
            <v>080.825.0997</v>
          </cell>
          <cell r="E3653" t="str">
            <v>RADIOFARMACOS Y GENERADORES DE RADIONUCLIDOS. GENERADOR DE MO99(MOLIBDENO)-TC99M (TECNECIO) CON BLINDAJE DE PLOMO, MINIMO 50 MM DE ESPESORALREDEDOR DE LA COLUMNA, PARA OBTENER ELUSION DE TC99M CON RENDIMIENTO DE TC99-MDE 100%. RADIOFARMACO CON PUREZA RADIOQUIMICA IGUAL O MAYOR AL 98% Y ACTIVIDADESPECIFICA DE 37 GIGABECQUERELES (GBQ). EQUIPO. TATC.</v>
          </cell>
          <cell r="U3653">
            <v>206</v>
          </cell>
          <cell r="V3653">
            <v>514</v>
          </cell>
        </row>
        <row r="3654">
          <cell r="A3654">
            <v>3651</v>
          </cell>
          <cell r="B3654" t="str">
            <v>080.825.1086</v>
          </cell>
          <cell r="E3654" t="str">
            <v>RADIOFARMACOS Y GENERADORES DE RADIONUCLIDOS. MEBROFENIN. SUSTANCIA NORADIOACTIVA QUE SE UTILIZA PARA LA PREPARACION DE RADIOFARMACOS, QUE SE PUEDEMARCAR CON ACTIVIDAD IGUAL O MAYOR A 3700 MEGABECQUERELES (MBQ). ENVASE CON 5FRASCOS. RTC.</v>
          </cell>
          <cell r="U3654">
            <v>118</v>
          </cell>
          <cell r="V3654">
            <v>294</v>
          </cell>
        </row>
        <row r="3655">
          <cell r="A3655">
            <v>3652</v>
          </cell>
          <cell r="B3655" t="str">
            <v>080.825.1094</v>
          </cell>
          <cell r="E3655" t="str">
            <v>RADIOFARMACOS Y GENERADORES DE RADIONUCLIDOS. I131-METAYODOBENCILGUANIDINA(MIBG-I131). RADIOFARMACO CON PUREZA RADIOQUIMICA IGUAL O MAYOR AL 90% YACTIVIDAD ESPECIFICA DE 55.5 MEGABECQUERELES (MBQ). FRASCO. TATC.</v>
          </cell>
          <cell r="U3655">
            <v>120</v>
          </cell>
          <cell r="V3655">
            <v>298</v>
          </cell>
        </row>
        <row r="3656">
          <cell r="A3656">
            <v>3653</v>
          </cell>
          <cell r="B3656" t="str">
            <v>080.825.1102</v>
          </cell>
          <cell r="E3656" t="str">
            <v>RADIOFARMACOS Y GENERADORES DE RADIONUCLIDOS. I131-METAYODOBENCILGUANIDINA(MIBG-I131). RADIOFARMACO CON PUREZA RADIOQUIMICA IGUAL O MAYOR AL 90% YACTIVIDAD ESPECIFICA DE 3700 MEGABECQUERELES (MBQ). FRASCO. TATC.</v>
          </cell>
          <cell r="U3656">
            <v>34</v>
          </cell>
          <cell r="V3656">
            <v>82</v>
          </cell>
        </row>
        <row r="3657">
          <cell r="A3657">
            <v>3654</v>
          </cell>
          <cell r="B3657" t="str">
            <v>080.825.1110</v>
          </cell>
          <cell r="E3657" t="str">
            <v>PRECURSORES DE RADIOFARMACOS. NANOCOLOIDE DE RENIO. SUSTANCIA NO RADIOACTIVA QUESE UTILIZA EN LA PREPARACION DE RADIOFARMACOS. ENVASE CON 5 FRASCOS. RTC.</v>
          </cell>
          <cell r="U3657">
            <v>138</v>
          </cell>
          <cell r="V3657">
            <v>344</v>
          </cell>
        </row>
        <row r="3658">
          <cell r="A3658">
            <v>3655</v>
          </cell>
          <cell r="B3658" t="str">
            <v>080.825.1144</v>
          </cell>
          <cell r="E3658" t="str">
            <v>RADIOFARMACOS Y GENERADORES DE RADIONUCLIDOS. TETROFOSMIN. SUSTANCIA NORADIOACTIVA QUE SE UTILIZA PARA LA PREPARACION DE RADIOFARMACOS, QUE SE PUEDEMARCAR CON ACTIVIDAD IGUAL O MAYOR A 2960 MEGABECQUERELES (MBQ). ESTUCHE CON 5FRASCOS. RTC.</v>
          </cell>
          <cell r="U3658">
            <v>10</v>
          </cell>
          <cell r="V3658">
            <v>24</v>
          </cell>
        </row>
        <row r="3659">
          <cell r="A3659">
            <v>3656</v>
          </cell>
          <cell r="B3659" t="str">
            <v>080.825.1185</v>
          </cell>
          <cell r="E3659" t="str">
            <v>RADIOFARMACOS Y GENERADORES DE RADIONUCLIDOS. I131-IODURO DE SODIO. RADIOFARMACOCON PUREZA RADIOQUIMICA IGUAL O MAYOR AL 90% Y ACTIVIDAD ESPECIFICA DE 185MEGABECQUERELES (MBQ). FRASCO. RTC.</v>
          </cell>
          <cell r="U3659">
            <v>2626</v>
          </cell>
          <cell r="V3659">
            <v>6564</v>
          </cell>
        </row>
        <row r="3660">
          <cell r="A3660">
            <v>3657</v>
          </cell>
          <cell r="B3660" t="str">
            <v>080.825.1193</v>
          </cell>
          <cell r="E3660" t="str">
            <v>RADIOFARMACOS Y GENERADORES DE RADIONUCLIDOS. I131-IODURO DE SODIO. RADIOFARMACOCON PUREZA RADIOQUIMICA IGUAL O MAYOR AL 90% Y ACTIVIDAD ESPECIFICA DE 1850MEGABECQUERELES (MBQ). FRASCO. RTC.</v>
          </cell>
          <cell r="U3660">
            <v>141</v>
          </cell>
          <cell r="V3660">
            <v>350</v>
          </cell>
        </row>
        <row r="3661">
          <cell r="A3661">
            <v>3658</v>
          </cell>
          <cell r="B3661" t="str">
            <v>080.825.1201</v>
          </cell>
          <cell r="E3661" t="str">
            <v>RADIOFARMACOS Y GENERADORES DE RADIONUCLIDOS. I131-IODURO DE SODIO. RADIOFARMACOCON PUREZA RADIOQUIMICA IGUAL O MAYOR AL 90% Y ACTIVIDAD ESPECIFICA DE 3700MEGABECQUERELES (MBQ). FRASCO. RTC.</v>
          </cell>
          <cell r="U3661">
            <v>560</v>
          </cell>
          <cell r="V3661">
            <v>1398</v>
          </cell>
        </row>
        <row r="3662">
          <cell r="A3662">
            <v>3659</v>
          </cell>
          <cell r="B3662" t="str">
            <v>080.825.1219</v>
          </cell>
          <cell r="E3662" t="str">
            <v>RADIOFARMACOS Y GENERADORES DE RADIONUCLIDOS. I131-IODURO DE SODIO. RADIOFARMACOCON PUREZA RADIOQUIMICA IGUAL O MAYOR AL 90% Y ACTIVIDAD ESPECIFICA DE 7400MEGABECQUERELES (MBQ). FRASCO. RTC.</v>
          </cell>
          <cell r="U3662">
            <v>762</v>
          </cell>
          <cell r="V3662">
            <v>1904</v>
          </cell>
        </row>
        <row r="3663">
          <cell r="A3663">
            <v>3660</v>
          </cell>
          <cell r="B3663" t="str">
            <v>080.826.2737</v>
          </cell>
          <cell r="E3663" t="str">
            <v>REACTIVOS PARA PRUEBAS POR RADIOINMUNOANALISIS. ANTIGENO ESPECIFICO DE PROSTATA(PSA) TOTAL. DETERMINACION DE ANTIGENO ESPECIFICO DE PROSTATA TOTAL CON TECNICADE IRMA. CONTROLES PROPIOS INCLUIDOS, FASE SOLIDA. PORCENTAJE DE UNION MAYOR AL40%. PARA 100 PRUEBAS. RTC.</v>
          </cell>
          <cell r="U3663">
            <v>4407</v>
          </cell>
          <cell r="V3663">
            <v>11016</v>
          </cell>
        </row>
        <row r="3664">
          <cell r="A3664">
            <v>3661</v>
          </cell>
          <cell r="B3664" t="str">
            <v>080.826.3818</v>
          </cell>
          <cell r="E3664" t="str">
            <v>PRECURSORES DE RADIOFARMACOS. ESTUCHE PARA MARCAR ERITROCITOS IN VITRO CONMATERIAL RADIOACTIVO, VOLUMEN MAXIMO 1 ML. DE SANGRE HEPARINIZADA, QUE SE PUEDEMARCAR CON ACTIVIDAD IGUAL O MAYOR A 740 MEGABECQUERELES (MBQ). RTC.</v>
          </cell>
          <cell r="U3664">
            <v>18</v>
          </cell>
          <cell r="V3664">
            <v>44</v>
          </cell>
        </row>
        <row r="3665">
          <cell r="A3665">
            <v>3662</v>
          </cell>
          <cell r="B3665" t="str">
            <v>080.827.0011</v>
          </cell>
          <cell r="E3665" t="str">
            <v>PRECURSORES DE RADIOFARMACOS. COLOIDE DE AZUFRE. SUSTANCIA NO RADIOACTIVA QUE SEUTILIZA PARA LA PREPARACION DE RADIOFARMACO QUE SE PUEDE MARCAR CON ACTIVIDADIGUAL O MAYOR A 3700 MEGABECQUERELES (MBQ). FRASCO. ESTUCHE CON 5 FRASCOS. RTC.</v>
          </cell>
          <cell r="U3665">
            <v>164</v>
          </cell>
          <cell r="V3665">
            <v>410</v>
          </cell>
        </row>
        <row r="3666">
          <cell r="A3666">
            <v>3663</v>
          </cell>
          <cell r="B3666" t="str">
            <v>080.827.0029</v>
          </cell>
          <cell r="E3666" t="str">
            <v>PRECURSORES DE RADIOFARMACOS. ACIDO IMIDOACETICO (IDA). SUSTANCIA NO RADIOACTIVAQUE SE UTILIZA PARA LA PREPARACION DE RADIOFARMACO QUE SE PUEDE MARCAR CONACTIVIDAD IGUAL O MAYOR A 3700 MEGABECQUERELES (MBQ) POR FRASCO. ESTUCHE CON 5FRASCOS. RTC.</v>
          </cell>
          <cell r="U3666">
            <v>50</v>
          </cell>
          <cell r="V3666">
            <v>124</v>
          </cell>
        </row>
        <row r="3667">
          <cell r="A3667">
            <v>3664</v>
          </cell>
          <cell r="B3667" t="str">
            <v>080.827.0037</v>
          </cell>
          <cell r="E3667" t="str">
            <v>PRECURSORES DE RADIOFARMACOS. ACIDO DIETILENTRIAMINOPENTACETICO (DTPA).SUSTANCIA NO RADIOACTIVA QUE SE UTILIZA PARA LA PREPARACION DE RADIOFARMACO QUESE PUEDE MARCAR CON ACTIVIDAD IGUAL O MAYOR A 3700 MEGABECQUERELES (MBQ) PORFRASCO. ESTUCHE CON 5 FRASCOS. RTC.</v>
          </cell>
          <cell r="U3667">
            <v>400</v>
          </cell>
          <cell r="V3667">
            <v>1000</v>
          </cell>
        </row>
        <row r="3668">
          <cell r="A3668">
            <v>3665</v>
          </cell>
          <cell r="B3668" t="str">
            <v>080.827.0052</v>
          </cell>
          <cell r="E3668" t="str">
            <v>PRECURSORES DE RADIOFARMACOS. ALBUMINA MACROAGREGADOS DE (MAA). SUSTANCIA NORADIOACTIVA QUE SE UTILIZA PARA LA PREPARACION DE RADIOFARMACO QUE SE PUEDEMARCAR CON ACTIVIDAD IGUAL O MAYOR A 3700 MEGABECQUERELES (MBQ) POR FRASCO.ESTUCHE CON 5 FRASCOS. RTC.</v>
          </cell>
          <cell r="U3668">
            <v>172</v>
          </cell>
          <cell r="V3668">
            <v>426</v>
          </cell>
        </row>
        <row r="3669">
          <cell r="A3669">
            <v>3666</v>
          </cell>
          <cell r="B3669" t="str">
            <v>080.827.0060</v>
          </cell>
          <cell r="E3669" t="str">
            <v>PRECURSORES DE RADIOFARMACOS. METILENDIFOSFONATOS (MDP). SUSTANCIA NORADIOACTIVA QUE SE UTILIZA PARA LA PREPARACION DE RADIOFARMACO QUE SE PUEDEMARCAR CON ACTIVIDAD IGUAL O MAYOR A 3700 MEGABECQUERELES (MBQ) POR FRASCO.ESTUCHE CON 5 FRASCOS. RTC.</v>
          </cell>
          <cell r="U3669">
            <v>388</v>
          </cell>
          <cell r="V3669">
            <v>968</v>
          </cell>
        </row>
        <row r="3670">
          <cell r="A3670">
            <v>3667</v>
          </cell>
          <cell r="B3670" t="str">
            <v>080.827.0086</v>
          </cell>
          <cell r="E3670" t="str">
            <v>PRECURSORES DE RADIOFARMACOS. PIROFOSFATOS (PYP). SUSTANCIA NO RADIOACTIVA QUESE UTILIZA PARA LA PREPARACION DE RADIOFARMACO QUE SE PUEDE MARCAR CON ACTIVIDADIGUAL O MAYOR A 3700 MEGABECQUERELES (MBQ) POR FRASCO. ESTUCHE CON 5 FRASCOS.RTC.</v>
          </cell>
          <cell r="U3670">
            <v>284</v>
          </cell>
          <cell r="V3670">
            <v>708</v>
          </cell>
        </row>
        <row r="3671">
          <cell r="A3671">
            <v>3668</v>
          </cell>
          <cell r="B3671" t="str">
            <v>080.827.0094</v>
          </cell>
          <cell r="E3671" t="str">
            <v>PRECURSORES DE RADIOFARMACOS. ACIDO DIMERCAPTOSUCCINICO (DMSA). SUSTANCIA NORADIOACTIVA QUE SE UTILIZA PARA LA PREPARACION DE RADIOFARMACOS QUE SE PUEDEMARCAR CON ACTIVIDAD IGUAL O MAYOR A 3700 MEGABECQUERELES (MBQ) POR FRASCO.ESTUCHE CON 5 FRASCOS. RTC.</v>
          </cell>
          <cell r="U3671">
            <v>120</v>
          </cell>
          <cell r="V3671">
            <v>297</v>
          </cell>
        </row>
        <row r="3672">
          <cell r="A3672">
            <v>3669</v>
          </cell>
          <cell r="B3672" t="str">
            <v>080.827.0987</v>
          </cell>
          <cell r="E3672" t="str">
            <v>PRECURSORES DE RADIOFARMACOS. METOXIISOBUTILISONITRILO (MIBI). SUSTANCIA NORADIOACTIVA QUE SE UTILIZA PARA LA PREPARACION DE RADIOFARMACO QUE SE PUEDEMARCAR CON ACTIVIDAD IGUAL O MAYOR A 3700 MEGABECQUERELES (MBQ) POR FRASCO.ESTUCHE CON 5 FRASCOS. RTC.</v>
          </cell>
          <cell r="U3672">
            <v>442</v>
          </cell>
          <cell r="V3672">
            <v>1104</v>
          </cell>
        </row>
        <row r="3673">
          <cell r="A3673">
            <v>3670</v>
          </cell>
          <cell r="B3673" t="str">
            <v>080.827.1035</v>
          </cell>
          <cell r="E3673" t="str">
            <v>PRECURSORES DE RADIOFARMACOS. MERCAPTOACETILTRIGLICINA (MAG-3). SUSTANCIA NORADIOACTIVA QUE SE UTILIZA PARA LA PREPARACION DE RADIOFARMACO QUE SE PUEDEMARCAR CON ACTIVIDAD IGUAL O MAYOR A 3700 MEGABECQUERELES (MBQ) POR FRASCO.ESTUCHE CON 5 FRASCOS. RTC.</v>
          </cell>
          <cell r="U3673">
            <v>304</v>
          </cell>
          <cell r="V3673">
            <v>760</v>
          </cell>
        </row>
        <row r="3674">
          <cell r="A3674">
            <v>3671</v>
          </cell>
          <cell r="B3674" t="str">
            <v>080.829.0084</v>
          </cell>
          <cell r="E3674" t="str">
            <v>REACTIVOS QUIMICOS. SOLUCION ALCOHOLICA DE GIEMSA AL 0.4%. FRASCO CON 500 ML.TA.</v>
          </cell>
          <cell r="U3674">
            <v>141</v>
          </cell>
          <cell r="V3674">
            <v>352</v>
          </cell>
        </row>
        <row r="3675">
          <cell r="A3675">
            <v>3672</v>
          </cell>
          <cell r="B3675" t="str">
            <v>080.829.0308</v>
          </cell>
          <cell r="E3675" t="str">
            <v>REACTIVOS QUIMICOS. AURAMINA O. COLORANTE BIOLOGICO. FRASCO CON 25 G. TA.</v>
          </cell>
          <cell r="U3675">
            <v>50</v>
          </cell>
          <cell r="V3675">
            <v>122</v>
          </cell>
        </row>
        <row r="3676">
          <cell r="A3676">
            <v>3673</v>
          </cell>
          <cell r="B3676" t="str">
            <v>080.829.0431</v>
          </cell>
          <cell r="E3676" t="str">
            <v>REACTIVOS QUIMICOS. AZUL ALCIANO. POLVO. FRASCO CON 25 G. TA.</v>
          </cell>
          <cell r="U3676">
            <v>79</v>
          </cell>
          <cell r="V3676">
            <v>195</v>
          </cell>
        </row>
        <row r="3677">
          <cell r="A3677">
            <v>3674</v>
          </cell>
          <cell r="B3677" t="str">
            <v>080.829.0464</v>
          </cell>
          <cell r="E3677" t="str">
            <v>REACTIVOS QUIMICOS. AZUL DE ANILINA (AZUL ALGODON). POLVO. FRASCO CON 10 G. TA.</v>
          </cell>
          <cell r="U3677">
            <v>105</v>
          </cell>
          <cell r="V3677">
            <v>259</v>
          </cell>
        </row>
        <row r="3678">
          <cell r="A3678">
            <v>3675</v>
          </cell>
          <cell r="B3678" t="str">
            <v>080.829.0498</v>
          </cell>
          <cell r="E3678" t="str">
            <v>REACTIVOS QUIMICOS. AZUL LUXOL RAPIDO. POLVO. FRASCO CON 25 G. TA.</v>
          </cell>
          <cell r="U3678">
            <v>41</v>
          </cell>
          <cell r="V3678">
            <v>101</v>
          </cell>
        </row>
        <row r="3679">
          <cell r="A3679">
            <v>3676</v>
          </cell>
          <cell r="B3679" t="str">
            <v>080.829.0522</v>
          </cell>
          <cell r="E3679" t="str">
            <v>REACTIVOS QUIMICOS. BORATO DE SODIO. 10H2O (BORAX). PARA USO FOTOGRAFICO.CRISTAL O POLVO. RA. FRASCO CON 450 G. TA.</v>
          </cell>
          <cell r="U3679">
            <v>38</v>
          </cell>
          <cell r="V3679">
            <v>95</v>
          </cell>
        </row>
        <row r="3680">
          <cell r="A3680">
            <v>3677</v>
          </cell>
          <cell r="B3680" t="str">
            <v>080.829.0530</v>
          </cell>
          <cell r="E3680" t="str">
            <v>REACTIVOS QUIMICOS. CARBON VEGETAL O CARBON ACTIVADO. POLVO. FRASCO CON 500 G.TA.</v>
          </cell>
          <cell r="U3680">
            <v>108</v>
          </cell>
          <cell r="V3680">
            <v>268</v>
          </cell>
        </row>
        <row r="3681">
          <cell r="A3681">
            <v>3678</v>
          </cell>
          <cell r="B3681" t="str">
            <v>080.829.0555</v>
          </cell>
          <cell r="E3681" t="str">
            <v>REACTIVOS QUIMICOS. CARMIN. PARA MICROSCOPIA. FRASCO CON 25 G. TA.</v>
          </cell>
          <cell r="U3681">
            <v>39</v>
          </cell>
          <cell r="V3681">
            <v>95</v>
          </cell>
        </row>
        <row r="3682">
          <cell r="A3682">
            <v>3679</v>
          </cell>
          <cell r="B3682" t="str">
            <v>080.829.0654</v>
          </cell>
          <cell r="E3682" t="str">
            <v>Reactivos Químicos EA 50. Colorante preparado. Frasco con 1000 ml. TA.</v>
          </cell>
          <cell r="U3682">
            <v>4232</v>
          </cell>
          <cell r="V3682">
            <v>10580</v>
          </cell>
        </row>
        <row r="3683">
          <cell r="A3683">
            <v>3680</v>
          </cell>
          <cell r="B3683" t="str">
            <v>080.829.0662</v>
          </cell>
          <cell r="E3683" t="str">
            <v>REACTIVOS QUIMICOS. ESCARLATA DE BRIEBRICH. POLVO. FRASCO CON 25 G. TA.</v>
          </cell>
          <cell r="U3683">
            <v>54</v>
          </cell>
          <cell r="V3683">
            <v>133</v>
          </cell>
        </row>
        <row r="3684">
          <cell r="A3684">
            <v>3681</v>
          </cell>
          <cell r="B3684" t="str">
            <v>080.829.0696</v>
          </cell>
          <cell r="E3684" t="str">
            <v>REACTIVOS QUIMICOS. FLOXINA B. POLVO. FRASCO CON 5 G. TA.</v>
          </cell>
          <cell r="U3684">
            <v>11</v>
          </cell>
          <cell r="V3684">
            <v>25</v>
          </cell>
        </row>
        <row r="3685">
          <cell r="A3685">
            <v>3682</v>
          </cell>
          <cell r="B3685" t="str">
            <v>080.829.0704</v>
          </cell>
          <cell r="E3685" t="str">
            <v>Reactivos Químicos Formaldehido (Formol) del 37 al 40%. RA. ACS. Frasco con 18 litros. TA.</v>
          </cell>
          <cell r="U3685">
            <v>4848</v>
          </cell>
          <cell r="V3685">
            <v>12119</v>
          </cell>
        </row>
        <row r="3686">
          <cell r="A3686">
            <v>3683</v>
          </cell>
          <cell r="B3686" t="str">
            <v>080.829.0720</v>
          </cell>
          <cell r="E3686" t="str">
            <v>REACTIVOS QUIMICOS. FUCSINA ACIDA. POLVO. FRASCO CON 25 G. TA.</v>
          </cell>
          <cell r="U3686">
            <v>49</v>
          </cell>
          <cell r="V3686">
            <v>121</v>
          </cell>
        </row>
        <row r="3687">
          <cell r="A3687">
            <v>3684</v>
          </cell>
          <cell r="B3687" t="str">
            <v>080.829.0787</v>
          </cell>
          <cell r="E3687" t="str">
            <v>Reactivos Químicos Hematoxilina de Harris. Colorante preparado. Frasco con 1000 ml. TA.</v>
          </cell>
          <cell r="U3687">
            <v>4796</v>
          </cell>
          <cell r="V3687">
            <v>11988</v>
          </cell>
        </row>
        <row r="3688">
          <cell r="A3688">
            <v>3685</v>
          </cell>
          <cell r="B3688" t="str">
            <v>080.829.0845</v>
          </cell>
          <cell r="E3688" t="str">
            <v>REACTIVOS QUIMICOS. METABISULFITO DE POTASIO (K2S2O5) O DISULFITO DE POTASIO.RA. FRASCO CON 500 G. TA.</v>
          </cell>
          <cell r="U3688">
            <v>75</v>
          </cell>
          <cell r="V3688">
            <v>187</v>
          </cell>
        </row>
        <row r="3689">
          <cell r="A3689">
            <v>3686</v>
          </cell>
          <cell r="B3689" t="str">
            <v>080.829.0878</v>
          </cell>
          <cell r="E3689" t="str">
            <v>REACTIVOS QUIMICOS. METENAMINA (HEXAMETILTETRAMINA). QP. FRASCO CON 500 G. TA.</v>
          </cell>
          <cell r="U3689">
            <v>41</v>
          </cell>
          <cell r="V3689">
            <v>99</v>
          </cell>
        </row>
        <row r="3690">
          <cell r="A3690">
            <v>3687</v>
          </cell>
          <cell r="B3690" t="str">
            <v>080.829.0910</v>
          </cell>
          <cell r="E3690" t="str">
            <v>REACTIVOS QUIMICOS. NITRATO DE PLOMO. RA. FRASCO CON 500 G. TA.</v>
          </cell>
          <cell r="U3690">
            <v>10</v>
          </cell>
          <cell r="V3690">
            <v>24</v>
          </cell>
        </row>
        <row r="3691">
          <cell r="A3691">
            <v>3688</v>
          </cell>
          <cell r="B3691" t="str">
            <v>080.829.0944</v>
          </cell>
          <cell r="E3691" t="str">
            <v>REACTIVOS QUIMICOS. NITRATO DE URANIO 6. H2O. (NITRATO DE URANILO). FRASCO CON25 G. TA.</v>
          </cell>
          <cell r="U3691">
            <v>12</v>
          </cell>
          <cell r="V3691">
            <v>28</v>
          </cell>
        </row>
        <row r="3692">
          <cell r="A3692">
            <v>3689</v>
          </cell>
          <cell r="B3692" t="str">
            <v>080.829.0951</v>
          </cell>
          <cell r="E3692" t="str">
            <v>Reactivos Químicos OG-6. Colorante preparado. Frasco con 1000 ml. TA.</v>
          </cell>
          <cell r="U3692">
            <v>4458</v>
          </cell>
          <cell r="V3692">
            <v>11144</v>
          </cell>
        </row>
        <row r="3693">
          <cell r="A3693">
            <v>3690</v>
          </cell>
          <cell r="B3693" t="str">
            <v>080.829.1041</v>
          </cell>
          <cell r="E3693" t="str">
            <v>REACTIVOS QUIMICOS. RODAMINA B. PARA MICROSCOPIA. RA. FRASCO CON 25 G. TA.</v>
          </cell>
          <cell r="U3693">
            <v>38</v>
          </cell>
          <cell r="V3693">
            <v>93</v>
          </cell>
        </row>
        <row r="3694">
          <cell r="A3694">
            <v>3691</v>
          </cell>
          <cell r="B3694" t="str">
            <v>080.829.1082</v>
          </cell>
          <cell r="E3694" t="str">
            <v>REACTIVOS QUIMICOS. ROJO NUCLEAR RAPIDO. COLORANTE BIOLOGICO. FRASCO CON 25 G.TA.</v>
          </cell>
          <cell r="U3694">
            <v>39</v>
          </cell>
          <cell r="V3694">
            <v>95</v>
          </cell>
        </row>
        <row r="3695">
          <cell r="A3695">
            <v>3692</v>
          </cell>
          <cell r="B3695" t="str">
            <v>080.829.1108</v>
          </cell>
          <cell r="E3695" t="str">
            <v>REACTIVOS QUIMICOS. SUDAN III (SUDAN ROJO). COLORANTE BIOLOGICO. FRASCO CON 25G. TA.</v>
          </cell>
          <cell r="U3695">
            <v>24</v>
          </cell>
          <cell r="V3695">
            <v>57</v>
          </cell>
        </row>
        <row r="3696">
          <cell r="A3696">
            <v>3693</v>
          </cell>
          <cell r="B3696" t="str">
            <v>080.829.1181</v>
          </cell>
          <cell r="E3696" t="str">
            <v>REACTIVOS QUIMICOS. VERDE METILO. PARA MICROSCOPIA. COLORANTE BIOLOGICO. FRASCOCON 5 G. TA.</v>
          </cell>
          <cell r="U3696">
            <v>27</v>
          </cell>
          <cell r="V3696">
            <v>66</v>
          </cell>
        </row>
        <row r="3697">
          <cell r="A3697">
            <v>3694</v>
          </cell>
          <cell r="B3697" t="str">
            <v>080.829.1272</v>
          </cell>
          <cell r="E3697" t="str">
            <v>REACTIVOS QUIMICOS. VIOLETA DE METILO. POLVO. FRASCO CON 25 G. TA.</v>
          </cell>
          <cell r="U3697">
            <v>129</v>
          </cell>
          <cell r="V3697">
            <v>321</v>
          </cell>
        </row>
        <row r="3698">
          <cell r="A3698">
            <v>3695</v>
          </cell>
          <cell r="B3698" t="str">
            <v>080.829.1298</v>
          </cell>
          <cell r="E3698" t="str">
            <v>REACTIVOS QUIMICOS. SUDAN IV (ROJO ESCARLATA). RA. FRASCO CON 25 G. TA.</v>
          </cell>
          <cell r="U3698">
            <v>208</v>
          </cell>
          <cell r="V3698">
            <v>520</v>
          </cell>
        </row>
        <row r="3699">
          <cell r="A3699">
            <v>3696</v>
          </cell>
          <cell r="B3699" t="str">
            <v>080.829.1413</v>
          </cell>
          <cell r="E3699" t="str">
            <v>REACTIVOS Y JUEGOS DE REACTIVOS PARA PRUEBAS ESPECIFICAS. YODO EN SOLUCION. PARAAÑADIR AL MEDIO DE TETRATIONATO. FRASCO CON 50 ML. TA.</v>
          </cell>
          <cell r="U3699">
            <v>321</v>
          </cell>
          <cell r="V3699">
            <v>801</v>
          </cell>
        </row>
        <row r="3700">
          <cell r="A3700">
            <v>3697</v>
          </cell>
          <cell r="B3700" t="str">
            <v>080.829.1454</v>
          </cell>
          <cell r="E3700" t="str">
            <v>REACTIVOS Y JUEGOS DE REACTIVOS PARA PRUEBAS ESPECIFICAS. SAFRANINA. PARA LATINCION DE GRAM. FRASCO CON 125 ML. TA.</v>
          </cell>
          <cell r="U3700">
            <v>7897</v>
          </cell>
          <cell r="V3700">
            <v>19740</v>
          </cell>
        </row>
        <row r="3701">
          <cell r="A3701">
            <v>3698</v>
          </cell>
          <cell r="B3701" t="str">
            <v>080.829.1843</v>
          </cell>
          <cell r="E3701" t="str">
            <v>REACTIVOS QUIMICOS. FERRICIANURO DE POTASIO. RA. ACS. FRASCO CON 250 G. TA.</v>
          </cell>
          <cell r="U3701">
            <v>74</v>
          </cell>
          <cell r="V3701">
            <v>183</v>
          </cell>
        </row>
        <row r="3702">
          <cell r="A3702">
            <v>3699</v>
          </cell>
          <cell r="B3702" t="str">
            <v>080.829.2288</v>
          </cell>
          <cell r="E3702" t="str">
            <v>REACTIVOS QUIMICOS. EOSINA-AZUL DE METILENO. POLVO. FRASCO CON 25 G. TA</v>
          </cell>
          <cell r="U3702">
            <v>339</v>
          </cell>
          <cell r="V3702">
            <v>847</v>
          </cell>
        </row>
        <row r="3703">
          <cell r="A3703">
            <v>3700</v>
          </cell>
          <cell r="B3703" t="str">
            <v>080.829.2320</v>
          </cell>
          <cell r="E3703" t="str">
            <v>SOLUCIONES AMORTIGUADORAS. SOLUCION AMORTIGUADORA DE FOSFATO CON PH 6.5 A 6.7PARA ANTIESTREPTOLISINAS PARA 1000 ML. RTC.</v>
          </cell>
          <cell r="U3703">
            <v>978</v>
          </cell>
          <cell r="V3703">
            <v>2443</v>
          </cell>
        </row>
        <row r="3704">
          <cell r="A3704">
            <v>3701</v>
          </cell>
          <cell r="B3704" t="str">
            <v>080.829.2353</v>
          </cell>
          <cell r="E3704" t="str">
            <v>REACTIVOS QUIMICOS. AMONIACO AL 25%. RA. FRASCO CON 100 ML. TA.</v>
          </cell>
          <cell r="U3704">
            <v>2</v>
          </cell>
          <cell r="V3704">
            <v>2</v>
          </cell>
        </row>
        <row r="3705">
          <cell r="A3705">
            <v>3702</v>
          </cell>
          <cell r="B3705" t="str">
            <v>080.829.3575</v>
          </cell>
          <cell r="E3705" t="str">
            <v>Reactivos Químicos. Alcohol etílico de 96 °G.L. Técnico. Frasco con 1000 ml. TA.</v>
          </cell>
          <cell r="U3705">
            <v>120</v>
          </cell>
          <cell r="V3705">
            <v>300</v>
          </cell>
        </row>
        <row r="3706">
          <cell r="A3706">
            <v>3703</v>
          </cell>
          <cell r="B3706" t="str">
            <v>080.829.3757</v>
          </cell>
          <cell r="E3706" t="str">
            <v>REACTIVOS QUIMICOS. DEXTROSA ANHIDRA (GLUCOSA). RA. CRISTALES. FRASCO CON 100 G.TA.</v>
          </cell>
          <cell r="U3706">
            <v>29871</v>
          </cell>
          <cell r="V3706">
            <v>74676</v>
          </cell>
        </row>
        <row r="3707">
          <cell r="A3707">
            <v>3704</v>
          </cell>
          <cell r="B3707" t="str">
            <v>080.829.4110</v>
          </cell>
          <cell r="E3707" t="str">
            <v>SUSTANCIAS BIOLOGICAS. ANTICUERPOS ANTINUCLEARES. JUEGO DE REACTIVOS PARADETERMINAR POR INMUNOFLUORESCENCIA (IF). COMPUESTO DE: PORTAOBJETOS CON CORTESDE HIGADO DE RATA CON 8 AREAS DE REACCION GAMMAGLOBULINA ANTIHUMANA CONJUGADACON FLUORESCEINA, AMORTIGUADOR, SUERO CONTROL POSITIVO Y NEGATIVO. PARA MINIMO60 PRUEBAS. RTC.</v>
          </cell>
          <cell r="U3707">
            <v>19</v>
          </cell>
          <cell r="V3707">
            <v>45</v>
          </cell>
        </row>
        <row r="3708">
          <cell r="A3708">
            <v>3705</v>
          </cell>
          <cell r="B3708" t="str">
            <v>080.829.4144</v>
          </cell>
          <cell r="E3708" t="str">
            <v>SUSTANCIAS BIOLOGICAS. ANTICUERPOS ANTI-DNA NATIVO. JUEGO DE REACTIVOS PARA SUDETERMINAR POR INMUNOFLUORESCENCIA. COMPUESTO DE PORTAOBJETOS CON CRITHIDIALUCILAE COMO SUBSTRATO, CON 8 AREAS DE REACCION Y REACTIVOS ACCESORIOS. PARAMINIMO 60 PRUEBAS. RTC.</v>
          </cell>
          <cell r="U3708">
            <v>19</v>
          </cell>
          <cell r="V3708">
            <v>45</v>
          </cell>
        </row>
        <row r="3709">
          <cell r="A3709">
            <v>3706</v>
          </cell>
          <cell r="B3709" t="str">
            <v>080.829.4342</v>
          </cell>
          <cell r="E3709" t="str">
            <v>REACTIVOS QUIMICOS. ALCOHOL ETILICO CON 96 GRADOS GL. TECNICO. ENVASE CON 18LITROS. TA.</v>
          </cell>
          <cell r="U3709">
            <v>10562</v>
          </cell>
          <cell r="V3709">
            <v>26403</v>
          </cell>
        </row>
        <row r="3710">
          <cell r="A3710">
            <v>3707</v>
          </cell>
          <cell r="B3710" t="str">
            <v>080.829.4466</v>
          </cell>
          <cell r="E3710" t="str">
            <v>SUSTANCIAS BIOLOGICAS. ENZIMA DE RESTRICCION PST I. ENDONUCLEASA DE PROVIDENCESTUART I. FRASCO CON 10000 U. CTC. (-20 GRADOS CENTIGRADOS).</v>
          </cell>
          <cell r="U3710">
            <v>10</v>
          </cell>
          <cell r="V3710">
            <v>24</v>
          </cell>
        </row>
        <row r="3711">
          <cell r="A3711">
            <v>3708</v>
          </cell>
          <cell r="B3711" t="str">
            <v>080.829.4573</v>
          </cell>
          <cell r="E3711" t="str">
            <v>MEDIOS DE CULTIVO, COMPLEMENTOS. AGUA PEPTONADA PARA EL ENRIQUECIMIENTO DEMICROORGANISMOS DEL GENERO VIBRIO CHOLERAE. FRASCO CON 500 G. TA.</v>
          </cell>
          <cell r="U3711">
            <v>169</v>
          </cell>
          <cell r="V3711">
            <v>420</v>
          </cell>
        </row>
        <row r="3712">
          <cell r="A3712">
            <v>3709</v>
          </cell>
          <cell r="B3712" t="str">
            <v>080.829.5356</v>
          </cell>
          <cell r="E3712" t="str">
            <v>PRUEBAS RÁPIDAS. Prueba rápida para la determinación cualitativa en sangre total de anticuerpos IgG por inmunocromatografía contra el virus de la inmunodeficiencia humana Tipos 1 y 2. Estuche para mínimo 24 pruebas. TATC. Con sensibilidad igual o superior al 99% y especificidad igual o superior al 98% para VIH, de acuerdo con el certificado de evaluación diagnóstica del Instituto de Diagnóstico y Referencia Epidemiológicos, o en su caso algún otro organismo internacional como la FDA, EMA o la Organización Mundial de la Salud.</v>
          </cell>
          <cell r="U3712">
            <v>19396</v>
          </cell>
          <cell r="V3712">
            <v>48488</v>
          </cell>
        </row>
        <row r="3713">
          <cell r="A3713">
            <v>3710</v>
          </cell>
          <cell r="B3713" t="str">
            <v>080.829.5372</v>
          </cell>
          <cell r="E3713" t="str">
            <v>PRUEBAS RAPIDAS. PRUEBA RAPIDA PARA LA DETERMINACION DE ANTICUERPOS EN SUERO YPLASMA; O SUERO, PLASMA Y SANGRE TOTAL ANTI VIH 1 Y 2, INMUNOCROMATOGRAFICA OPOR MEMBRANA SOLIDA. ESTUCHE PARA MINIMO 24 DETERMINACIONES. RTC.</v>
          </cell>
          <cell r="U3713">
            <v>937</v>
          </cell>
          <cell r="V3713">
            <v>2342</v>
          </cell>
        </row>
        <row r="3714">
          <cell r="A3714">
            <v>3711</v>
          </cell>
          <cell r="B3714" t="str">
            <v>080.829.5422</v>
          </cell>
          <cell r="E3714" t="str">
            <v>PRUEBAS RAPIDAS. PRUEBA RAPIDA INMUNOCROMATOGRAFICA PARA LA DETERMINACIONCUALITATIVA Y DIFERENCIACION DE ANTIGENOS DEL VIRUS DE LA INFLUENZA TIPO A Y B APARTIR DE MUESTRAS NASALES Y NASOFARINGEAS. CON UNA SENSIBILIDAD NO MENOR AL 80%Y UNA ESPECIFICIDAD NO MENOR AL 80% DE ACUERDO CON EL CERTIFICADO DE EVALUACIONDIAGNOSTICA DEL INSTITUTO DE DIAGNOSTICO Y REFERENCIA EPIDEMIOLOGICOS. INCLUYECONTROLES POSITIVO Y NEGATIVO. REQUIERE PRUEBA CONFIRMATORIA. ENVASE PARA MINIMO20 PRUEBAS.</v>
          </cell>
          <cell r="U3714">
            <v>1149</v>
          </cell>
          <cell r="V3714">
            <v>2871</v>
          </cell>
        </row>
        <row r="3715">
          <cell r="A3715">
            <v>3712</v>
          </cell>
          <cell r="B3715" t="str">
            <v>080.829.5463</v>
          </cell>
          <cell r="E3715" t="str">
            <v>PRUEBAS RÁPIDAS. Prueba rápida inmunocromatográfica para la determinación de anticuerpos de Treponema pallidum en suero o plasma humano. Con sensibilidad no menor al 95% y una especificidad no menor al 98% de acuerdo con el certificado de evaluación diagnóstica del Instituto de Diagnóstico y Referencia Epidemiológicos, o en su caso algún otro organismo internacional como la FDA, EMA, o la Organización Mundial de la Salud. Requiere prueba confirmatoria. Envase para mínimo 20 pruebas.</v>
          </cell>
          <cell r="U3715">
            <v>2643200</v>
          </cell>
          <cell r="V3715">
            <v>6608000</v>
          </cell>
        </row>
        <row r="3716">
          <cell r="A3716">
            <v>3713</v>
          </cell>
          <cell r="B3716" t="str">
            <v>080.829.5539</v>
          </cell>
          <cell r="E3716" t="str">
            <v>PRUEBAS RÁPIDAS. Inmunoanálsis para la detección del antígeno p24 de HIV-1 y anticuerpos al HIV-1 y HIV-2. Inmunoanálsis cualitativo in vitro con lectura visual para la detección simultánea del antígeno (Ag) no inmunocomplejo p24 del HIV-1 en forma libre y anticuerpos (Ab) a HIV-1 y HIV-2 en sangre humana. 10 tarjetas de prueba recubiertas de antígeno HIV1/2 recombinante y péptidos sintéticos, anticuerpos al antígeno p24 y avidina. TATC</v>
          </cell>
          <cell r="U3716">
            <v>1448675</v>
          </cell>
          <cell r="V3716">
            <v>3621685</v>
          </cell>
        </row>
        <row r="3717">
          <cell r="A3717">
            <v>3714</v>
          </cell>
          <cell r="B3717" t="str">
            <v>080.830.0164</v>
          </cell>
          <cell r="E3717" t="str">
            <v>REACTIVOS QUIMICOS. BISULFITO DE SODIO (SULFITO DE SODIO). RA. POLVO OGRANULADO. FRASCO CON 500 G. TA.</v>
          </cell>
          <cell r="U3717">
            <v>51</v>
          </cell>
          <cell r="V3717">
            <v>127</v>
          </cell>
        </row>
        <row r="3718">
          <cell r="A3718">
            <v>3715</v>
          </cell>
          <cell r="B3718" t="str">
            <v>080.830.0230</v>
          </cell>
          <cell r="E3718" t="str">
            <v>REACTIVOS QUIMICOS. ACIDO OXALICO. RA. ACS. CRISTALES. FRASCO CON 500 G. TA.</v>
          </cell>
          <cell r="U3718">
            <v>78</v>
          </cell>
          <cell r="V3718">
            <v>194</v>
          </cell>
        </row>
        <row r="3719">
          <cell r="A3719">
            <v>3716</v>
          </cell>
          <cell r="B3719" t="str">
            <v>080.830.0370</v>
          </cell>
          <cell r="E3719" t="str">
            <v>REACTIVOS QUIMICOS. CARBONATO DE SODIO ANHIDRO. RA. ACS. POLVO O GRANULADO.FRASCO CON 500 G. TA.</v>
          </cell>
          <cell r="U3719">
            <v>70</v>
          </cell>
          <cell r="V3719">
            <v>172</v>
          </cell>
        </row>
        <row r="3720">
          <cell r="A3720">
            <v>3717</v>
          </cell>
          <cell r="B3720" t="str">
            <v>080.830.0438</v>
          </cell>
          <cell r="E3720" t="str">
            <v>REACTIVOS QUIMICOS. CITRATO DE SODIO. 2H2O. RA. CRISTALES. FRASCO CON 500 G. TA.</v>
          </cell>
          <cell r="U3720">
            <v>81</v>
          </cell>
          <cell r="V3720">
            <v>201</v>
          </cell>
        </row>
        <row r="3721">
          <cell r="A3721">
            <v>3718</v>
          </cell>
          <cell r="B3721" t="str">
            <v>080.830.0453</v>
          </cell>
          <cell r="E3721" t="str">
            <v>REACTIVOS QUIMICOS. HIDROXIDO DE AMONIO (MINIMO 58%). RA. ACS. FRASCO CON 1000ML. TA.</v>
          </cell>
          <cell r="U3721">
            <v>210</v>
          </cell>
          <cell r="V3721">
            <v>523</v>
          </cell>
        </row>
        <row r="3722">
          <cell r="A3722">
            <v>3719</v>
          </cell>
          <cell r="B3722" t="str">
            <v>080.830.0644</v>
          </cell>
          <cell r="E3722" t="str">
            <v>REACTIVOS QUÍMICOS CLORURO DE ORO (ÁCIDO TETRACLOROÁURICO). FRASCO CON 1 G. TA.</v>
          </cell>
          <cell r="U3722">
            <v>92</v>
          </cell>
          <cell r="V3722">
            <v>229</v>
          </cell>
        </row>
        <row r="3723">
          <cell r="A3723">
            <v>3720</v>
          </cell>
          <cell r="B3723" t="str">
            <v>080.830.0677</v>
          </cell>
          <cell r="E3723" t="str">
            <v>REACTIVOS QUIMICOS. CLORURO DE SODIO. RA. ACS. CRISTALES. FRASCO CON 500 G. TA.</v>
          </cell>
          <cell r="U3723">
            <v>138</v>
          </cell>
          <cell r="V3723">
            <v>344</v>
          </cell>
        </row>
        <row r="3724">
          <cell r="A3724">
            <v>3721</v>
          </cell>
          <cell r="B3724" t="str">
            <v>080.830.0685</v>
          </cell>
          <cell r="E3724" t="str">
            <v>REACTIVOS QUIMICOS. CLORURO FERRICO. 6H2O. RA. ACS. EN TROZOS. FRASCO CON 500 G.TA.</v>
          </cell>
          <cell r="U3724">
            <v>70</v>
          </cell>
          <cell r="V3724">
            <v>171</v>
          </cell>
        </row>
        <row r="3725">
          <cell r="A3725">
            <v>3722</v>
          </cell>
          <cell r="B3725" t="str">
            <v>080.830.0784</v>
          </cell>
          <cell r="E3725" t="str">
            <v>REACTIVOS QUIMICOS. DICROMATO DE POTASIO. TECNICO. POLVO. FRASCO CON 500 G. TA.</v>
          </cell>
          <cell r="U3725">
            <v>28</v>
          </cell>
          <cell r="V3725">
            <v>69</v>
          </cell>
        </row>
        <row r="3726">
          <cell r="A3726">
            <v>3723</v>
          </cell>
          <cell r="B3726" t="str">
            <v>080.830.0933</v>
          </cell>
          <cell r="E3726" t="str">
            <v>REACTIVOS QUIMICOS. META-BISULFITO DE SODIO (PIROSULFITO DE SODIO). RA.GRANULADO. FRASCO CON 500 G. TA.</v>
          </cell>
          <cell r="U3726">
            <v>89</v>
          </cell>
          <cell r="V3726">
            <v>222</v>
          </cell>
        </row>
        <row r="3727">
          <cell r="A3727">
            <v>3724</v>
          </cell>
          <cell r="B3727" t="str">
            <v>080.830.0966</v>
          </cell>
          <cell r="E3727" t="str">
            <v>Reactivos químicos Eosina amarilla Y. QP. Polvo. Frasco con 25 g. TA.</v>
          </cell>
          <cell r="U3727">
            <v>1967</v>
          </cell>
          <cell r="V3727">
            <v>4917</v>
          </cell>
        </row>
        <row r="3728">
          <cell r="A3728">
            <v>3725</v>
          </cell>
          <cell r="B3728" t="str">
            <v>080.830.0974</v>
          </cell>
          <cell r="E3728" t="str">
            <v>REACTIVOS QUIMICOS. EOSINA B (EOSINA AZULADA) DE METILENO. QP. POLVO. FRASCO CON25 G. TA.</v>
          </cell>
          <cell r="U3728">
            <v>34</v>
          </cell>
          <cell r="V3728">
            <v>82</v>
          </cell>
        </row>
        <row r="3729">
          <cell r="A3729">
            <v>3726</v>
          </cell>
          <cell r="B3729" t="str">
            <v>080.830.1063</v>
          </cell>
          <cell r="E3729" t="str">
            <v>REACTIVOS QUIMICOS. ETER ETILICO ANHIDRO. FRASCO CON 1000 ML. TA.</v>
          </cell>
          <cell r="U3729">
            <v>21</v>
          </cell>
          <cell r="V3729">
            <v>51</v>
          </cell>
        </row>
        <row r="3730">
          <cell r="A3730">
            <v>3727</v>
          </cell>
          <cell r="B3730" t="str">
            <v>080.830.1238</v>
          </cell>
          <cell r="E3730" t="str">
            <v>REACTIVOS QUIMICOS. FOSFATO DE SODIO. 12 H2O. RA. CRISTALES. FRASCO CON 500 G.TA.</v>
          </cell>
          <cell r="U3730">
            <v>37</v>
          </cell>
          <cell r="V3730">
            <v>90</v>
          </cell>
        </row>
        <row r="3731">
          <cell r="A3731">
            <v>3728</v>
          </cell>
          <cell r="B3731" t="str">
            <v>080.830.1261</v>
          </cell>
          <cell r="E3731" t="str">
            <v>REACTIVOS QUIMICOS. FOSFATO MONOBASICO DE POTASIO ANHIDRO. RA. ACS. CRISTALES.POLVO. FRASCO CON 500 G. TA.</v>
          </cell>
          <cell r="U3731">
            <v>65</v>
          </cell>
          <cell r="V3731">
            <v>160</v>
          </cell>
        </row>
        <row r="3732">
          <cell r="A3732">
            <v>3729</v>
          </cell>
          <cell r="B3732" t="str">
            <v>080.830.1279</v>
          </cell>
          <cell r="E3732" t="str">
            <v>REACTIVOS QUIMICOS. FOSFATO DIBASICO DE SODIO ANHIDRO (NA2 H2 PO4). RA. ACS.GRANULADO. FRASCO CON 500 G. TA.</v>
          </cell>
          <cell r="U3732">
            <v>210</v>
          </cell>
          <cell r="V3732">
            <v>524</v>
          </cell>
        </row>
        <row r="3733">
          <cell r="A3733">
            <v>3730</v>
          </cell>
          <cell r="B3733" t="str">
            <v>080.830.1287</v>
          </cell>
          <cell r="E3733" t="str">
            <v>REACTIVOS QUIMICOS. FOSFATO MONOBASICO DE SODIO. H2O. RA. ACS. CRISTALES. FRASCOCON 500 G. TA.</v>
          </cell>
          <cell r="U3733">
            <v>556</v>
          </cell>
          <cell r="V3733">
            <v>1387</v>
          </cell>
        </row>
        <row r="3734">
          <cell r="A3734">
            <v>3731</v>
          </cell>
          <cell r="B3734" t="str">
            <v>080.830.1303</v>
          </cell>
          <cell r="E3734" t="str">
            <v>REACTIVOS QUIMICOS. ACIDO BORICO. RA. ACS. CRISTALES. FRASCO CON 500 G. TA.</v>
          </cell>
          <cell r="U3734">
            <v>39</v>
          </cell>
          <cell r="V3734">
            <v>95</v>
          </cell>
        </row>
        <row r="3735">
          <cell r="A3735">
            <v>3732</v>
          </cell>
          <cell r="B3735" t="str">
            <v>080.830.1311</v>
          </cell>
          <cell r="E3735" t="str">
            <v>Reactivos Químicos Formaldehido (Formol) del 37 al 40%. RA. ACS. Frasco con 1 litro. TA.</v>
          </cell>
          <cell r="U3735">
            <v>368</v>
          </cell>
          <cell r="V3735">
            <v>920</v>
          </cell>
        </row>
        <row r="3736">
          <cell r="A3736">
            <v>3733</v>
          </cell>
          <cell r="B3736" t="str">
            <v>080.830.1337</v>
          </cell>
          <cell r="E3736" t="str">
            <v>REACTIVOS QUIMICOS. GELATINA SIMPLE. POLVO. FRASCO CON 500 G. TA.</v>
          </cell>
          <cell r="U3736">
            <v>419</v>
          </cell>
          <cell r="V3736">
            <v>1045</v>
          </cell>
        </row>
        <row r="3737">
          <cell r="A3737">
            <v>3734</v>
          </cell>
          <cell r="B3737" t="str">
            <v>080.830.1378</v>
          </cell>
          <cell r="E3737" t="str">
            <v>REACTIVOS QUIMICOS. GLICERINA (MINIMO 95%). RA. ACS. FRASCO CON 1000 ML. TA.</v>
          </cell>
          <cell r="U3737">
            <v>599</v>
          </cell>
          <cell r="V3737">
            <v>1497</v>
          </cell>
        </row>
        <row r="3738">
          <cell r="A3738">
            <v>3735</v>
          </cell>
          <cell r="B3738" t="str">
            <v>080.830.1444</v>
          </cell>
          <cell r="E3738" t="str">
            <v>REACTIVOS QUIMICOS. HIDROXIDO DE POTASIO. RA. ACS. LENTEJAS. FRASCO CON 500 G.TA.</v>
          </cell>
          <cell r="U3738">
            <v>180</v>
          </cell>
          <cell r="V3738">
            <v>449</v>
          </cell>
        </row>
        <row r="3739">
          <cell r="A3739">
            <v>3736</v>
          </cell>
          <cell r="B3739" t="str">
            <v>080.830.1451</v>
          </cell>
          <cell r="E3739" t="str">
            <v>REACTIVOS QUIMICOS. HIDROXIDO DE SODIO. RA. ACS. LENTEJAS. FRASCO CON 500 G. TA.</v>
          </cell>
          <cell r="U3739">
            <v>173</v>
          </cell>
          <cell r="V3739">
            <v>431</v>
          </cell>
        </row>
        <row r="3740">
          <cell r="A3740">
            <v>3737</v>
          </cell>
          <cell r="B3740" t="str">
            <v>080.830.1477</v>
          </cell>
          <cell r="E3740" t="str">
            <v>REACTIVOS QUIMICOS. HIDROQUINONA. RA. POLVO. FRASCO CON 500 G. TA.</v>
          </cell>
          <cell r="U3740">
            <v>12</v>
          </cell>
          <cell r="V3740">
            <v>28</v>
          </cell>
        </row>
        <row r="3741">
          <cell r="A3741">
            <v>3738</v>
          </cell>
          <cell r="B3741" t="str">
            <v>080.830.1527</v>
          </cell>
          <cell r="E3741" t="str">
            <v>REACTIVOS QUIMICOS. HIDROXIDO DE BARIO. 8H2O. RA. ACS. CRISTALES. FRASCO CON 500G. TA.</v>
          </cell>
          <cell r="U3741">
            <v>2</v>
          </cell>
          <cell r="V3741">
            <v>2</v>
          </cell>
        </row>
        <row r="3742">
          <cell r="A3742">
            <v>3739</v>
          </cell>
          <cell r="B3742" t="str">
            <v>080.830.1709</v>
          </cell>
          <cell r="E3742" t="str">
            <v>REACTIVOS QUIMICOS. INDIGO CARMIN. COLORANTE BIOLOGICO. FRASCO CON 25 G. TA.</v>
          </cell>
          <cell r="U3742">
            <v>17</v>
          </cell>
          <cell r="V3742">
            <v>41</v>
          </cell>
        </row>
        <row r="3743">
          <cell r="A3743">
            <v>3740</v>
          </cell>
          <cell r="B3743" t="str">
            <v>080.830.1758</v>
          </cell>
          <cell r="E3743" t="str">
            <v>REACTIVOS QUIMICOS. NITRATO DE PLATA. RA. ACS. CRISTALES. FRASCO CON 100 G.</v>
          </cell>
          <cell r="U3743">
            <v>236</v>
          </cell>
          <cell r="V3743">
            <v>590</v>
          </cell>
        </row>
        <row r="3744">
          <cell r="A3744">
            <v>3741</v>
          </cell>
          <cell r="B3744" t="str">
            <v>080.830.1808</v>
          </cell>
          <cell r="E3744" t="str">
            <v>REACTIVOS QUIMICOS. NITRATO DE POTASIO. CRISTALES. RA. FRASCO CON 500 G. TA.</v>
          </cell>
          <cell r="U3744">
            <v>71</v>
          </cell>
          <cell r="V3744">
            <v>177</v>
          </cell>
        </row>
        <row r="3745">
          <cell r="A3745">
            <v>3742</v>
          </cell>
          <cell r="B3745" t="str">
            <v>080.830.2400</v>
          </cell>
          <cell r="E3745" t="str">
            <v>REACTIVOS QUÍMICOS PARAFINA (CON PUNTO DE FUSIÓN ENTRE 56 °C A 58 °C). TÉCNICO. ENVASE CON 1000 G. TA.</v>
          </cell>
          <cell r="U3745">
            <v>22806</v>
          </cell>
          <cell r="V3745">
            <v>57012</v>
          </cell>
        </row>
        <row r="3746">
          <cell r="A3746">
            <v>3743</v>
          </cell>
          <cell r="B3746" t="str">
            <v>080.830.2582</v>
          </cell>
          <cell r="E3746" t="str">
            <v>SUSTANCIAS BIOLOGICAS. MEDIO PARA INCLUSION DE TEJIDOS. PARA CORTES ENCONGELACION. FRASCO CON 118 ML. TA.</v>
          </cell>
          <cell r="U3746">
            <v>879</v>
          </cell>
          <cell r="V3746">
            <v>2197</v>
          </cell>
        </row>
        <row r="3747">
          <cell r="A3747">
            <v>3744</v>
          </cell>
          <cell r="B3747" t="str">
            <v>080.830.2657</v>
          </cell>
          <cell r="E3747" t="str">
            <v>REACTIVOS QUIMICOS. PERMANGANATO DE POTASIO. RA. ACS. CRISTALES. FRASCO CON 500G. TA.</v>
          </cell>
          <cell r="U3747">
            <v>62</v>
          </cell>
          <cell r="V3747">
            <v>154</v>
          </cell>
        </row>
        <row r="3748">
          <cell r="A3748">
            <v>3745</v>
          </cell>
          <cell r="B3748" t="str">
            <v>080.830.2707</v>
          </cell>
          <cell r="E3748" t="str">
            <v>REACTIVOS QUIMICOS. PEROXIDO DE HIDROGENO (SOLUCION AL 30%). RA. FRASCO CON 500ML. TA.</v>
          </cell>
          <cell r="U3748">
            <v>212</v>
          </cell>
          <cell r="V3748">
            <v>527</v>
          </cell>
        </row>
        <row r="3749">
          <cell r="A3749">
            <v>3746</v>
          </cell>
          <cell r="B3749" t="str">
            <v>080.830.3143</v>
          </cell>
          <cell r="E3749" t="str">
            <v>REACTIVOS QUÍMICOS. ACEITE DE INMERSIÓN DE BAJA VISCOSIDAD PARA MICROSCOPÍA. ÍNDICE DE REFRACCIÓN A N20 °C/1.515-1.517. FRASCO CON 100 ML. TA.</v>
          </cell>
          <cell r="U3749">
            <v>4467</v>
          </cell>
          <cell r="V3749">
            <v>11167</v>
          </cell>
        </row>
        <row r="3750">
          <cell r="A3750">
            <v>3747</v>
          </cell>
          <cell r="B3750" t="str">
            <v>080.830.3150</v>
          </cell>
          <cell r="E3750" t="str">
            <v>REACTIVOS QUIMICOS. PROPILENGLICOL (1,2-PROPANODIOL). FRASCO CON 1000 ML. TA.</v>
          </cell>
          <cell r="U3750">
            <v>57</v>
          </cell>
          <cell r="V3750">
            <v>140</v>
          </cell>
        </row>
        <row r="3751">
          <cell r="A3751">
            <v>3748</v>
          </cell>
          <cell r="B3751" t="str">
            <v>080.830.3234</v>
          </cell>
          <cell r="E3751" t="str">
            <v>REACTIVOS QUIMICOS. ACETONA. ACS. FRASCO CON 1000 ML. TA.</v>
          </cell>
          <cell r="U3751">
            <v>1603</v>
          </cell>
          <cell r="V3751">
            <v>4004</v>
          </cell>
        </row>
        <row r="3752">
          <cell r="A3752">
            <v>3749</v>
          </cell>
          <cell r="B3752" t="str">
            <v>080.830.3283</v>
          </cell>
          <cell r="E3752" t="str">
            <v>REACTIVOS QUÍMICOS ÁCIDO ACÉTICO GLACIAL (MÍNIMO 99.7%). RA. ACS. FRASCO CON 1000 ML. TA.</v>
          </cell>
          <cell r="U3752">
            <v>944</v>
          </cell>
          <cell r="V3752">
            <v>2358</v>
          </cell>
        </row>
        <row r="3753">
          <cell r="A3753">
            <v>3750</v>
          </cell>
          <cell r="B3753" t="str">
            <v>080.830.3309</v>
          </cell>
          <cell r="E3753" t="str">
            <v>REACTIVOS QUIMICOS. ROJO CONGO. QP. POLVO. FRASCO CON 25 G. TA.</v>
          </cell>
          <cell r="U3753">
            <v>146</v>
          </cell>
          <cell r="V3753">
            <v>364</v>
          </cell>
        </row>
        <row r="3754">
          <cell r="A3754">
            <v>3751</v>
          </cell>
          <cell r="B3754" t="str">
            <v>080.830.3408</v>
          </cell>
          <cell r="E3754" t="str">
            <v>REACTIVOS QUIMICOS. ROJO DE FENOL. RA. ACS. CRISTALES. FRASCO CON 5 G. TA.</v>
          </cell>
          <cell r="U3754">
            <v>17</v>
          </cell>
          <cell r="V3754">
            <v>41</v>
          </cell>
        </row>
        <row r="3755">
          <cell r="A3755">
            <v>3752</v>
          </cell>
          <cell r="B3755" t="str">
            <v>080.830.3432</v>
          </cell>
          <cell r="E3755" t="str">
            <v>REACTIVOS QUIMICOS. ACIDO CITRICO. H2O. RA. ACS. CRISTALES. FRASCO CON 500 G.TA.</v>
          </cell>
          <cell r="U3755">
            <v>37</v>
          </cell>
          <cell r="V3755">
            <v>91</v>
          </cell>
        </row>
        <row r="3756">
          <cell r="A3756">
            <v>3753</v>
          </cell>
          <cell r="B3756" t="str">
            <v>080.830.3473</v>
          </cell>
          <cell r="E3756" t="str">
            <v>REACTIVOS QUÍMICOS ÁCIDO CLORHÍDRICO FUMANTE (MÍNIMO 37%). RA. ACS. FRASCO CON 1000 ML. TA.</v>
          </cell>
          <cell r="U3756">
            <v>671</v>
          </cell>
          <cell r="V3756">
            <v>1676</v>
          </cell>
        </row>
        <row r="3757">
          <cell r="A3757">
            <v>3754</v>
          </cell>
          <cell r="B3757" t="str">
            <v>080.830.3481</v>
          </cell>
          <cell r="E3757" t="str">
            <v>REACTIVOS QUIMICOS. ACIDO CROMICO. RA. CRISTALES. FRASCO CON 250 G. TA.</v>
          </cell>
          <cell r="U3757">
            <v>110</v>
          </cell>
          <cell r="V3757">
            <v>271</v>
          </cell>
        </row>
        <row r="3758">
          <cell r="A3758">
            <v>3755</v>
          </cell>
          <cell r="B3758" t="str">
            <v>080.830.3499</v>
          </cell>
          <cell r="E3758" t="str">
            <v>REACTIVOS QUIMICOS. ACIDO ETILENDIAMINOTETRACETICO DIHIDRATADO (VERSENATO DESODIO EDTA). RA. ACS. POLVO. FRASCO CON 500 G. TA.</v>
          </cell>
          <cell r="U3758">
            <v>64</v>
          </cell>
          <cell r="V3758">
            <v>159</v>
          </cell>
        </row>
        <row r="3759">
          <cell r="A3759">
            <v>3756</v>
          </cell>
          <cell r="B3759" t="str">
            <v>080.830.3507</v>
          </cell>
          <cell r="E3759" t="str">
            <v>REACTIVOS QUIMICOS. ROJO DE METILO. QP. POLVO. FRASCO CON 25 G. TA.</v>
          </cell>
          <cell r="U3759">
            <v>20</v>
          </cell>
          <cell r="V3759">
            <v>48</v>
          </cell>
        </row>
        <row r="3760">
          <cell r="A3760">
            <v>3757</v>
          </cell>
          <cell r="B3760" t="str">
            <v>080.830.3523</v>
          </cell>
          <cell r="E3760" t="str">
            <v>REACTIVOS QUÍMICOS. ÁCIDO FÉNICO (FENOL). RA. ACS. CRISTALES. FRASCO CON 500 G. TA.</v>
          </cell>
          <cell r="U3760">
            <v>240</v>
          </cell>
          <cell r="V3760">
            <v>596</v>
          </cell>
        </row>
        <row r="3761">
          <cell r="A3761">
            <v>3758</v>
          </cell>
          <cell r="B3761" t="str">
            <v>080.830.3564</v>
          </cell>
          <cell r="E3761" t="str">
            <v>REACTIVOS QUIMICOS. ACIDO FOSFOMOLIBDICO. RA. CRISTALES. FRASCO CON 100 G. TA.</v>
          </cell>
          <cell r="U3761">
            <v>64</v>
          </cell>
          <cell r="V3761">
            <v>159</v>
          </cell>
        </row>
        <row r="3762">
          <cell r="A3762">
            <v>3759</v>
          </cell>
          <cell r="B3762" t="str">
            <v>080.830.3580</v>
          </cell>
          <cell r="E3762" t="str">
            <v>REACTIVOS QUIMICOS. ACIDO FORMICO (98 A 100%). RA. FRASCO CON 1000 ML. TA.</v>
          </cell>
          <cell r="U3762">
            <v>311</v>
          </cell>
          <cell r="V3762">
            <v>775</v>
          </cell>
        </row>
        <row r="3763">
          <cell r="A3763">
            <v>3760</v>
          </cell>
          <cell r="B3763" t="str">
            <v>080.830.3713</v>
          </cell>
          <cell r="E3763" t="str">
            <v>REACTIVOS QUIMICOS. SULFATO DE ALUMINIO Y AMONIO. RA. CRISTALES. FRASCO CON 500G. TA.</v>
          </cell>
          <cell r="U3763">
            <v>31</v>
          </cell>
          <cell r="V3763">
            <v>74</v>
          </cell>
        </row>
        <row r="3764">
          <cell r="A3764">
            <v>3761</v>
          </cell>
          <cell r="B3764" t="str">
            <v>080.830.3739</v>
          </cell>
          <cell r="E3764" t="str">
            <v>REACTIVOS QUIMICOS. SULFATO DE ALUMINIO Y POTASIO. 12 H2O. (ALUMBRE DE POTASIO).RA. CRISTALES. FRASCO CON 500 G. TA.</v>
          </cell>
          <cell r="U3764">
            <v>60</v>
          </cell>
          <cell r="V3764">
            <v>148</v>
          </cell>
        </row>
        <row r="3765">
          <cell r="A3765">
            <v>3762</v>
          </cell>
          <cell r="B3765" t="str">
            <v>080.830.3747</v>
          </cell>
          <cell r="E3765" t="str">
            <v>REACTIVOS QUIMICOS. SULFATO DE AMONIO. RA. ACS. GRANULADO. FRASCO CON 500 G. TA.</v>
          </cell>
          <cell r="U3765">
            <v>31</v>
          </cell>
          <cell r="V3765">
            <v>75</v>
          </cell>
        </row>
        <row r="3766">
          <cell r="A3766">
            <v>3763</v>
          </cell>
          <cell r="B3766" t="str">
            <v>080.830.3887</v>
          </cell>
          <cell r="E3766" t="str">
            <v>REACTIVOS QUIMICOS. HEMATOXILINA. QP. POLVO. FRASCO CON 10 G. TA.</v>
          </cell>
          <cell r="U3766">
            <v>192</v>
          </cell>
          <cell r="V3766">
            <v>478</v>
          </cell>
        </row>
        <row r="3767">
          <cell r="A3767">
            <v>3764</v>
          </cell>
          <cell r="B3767" t="str">
            <v>080.830.3895</v>
          </cell>
          <cell r="E3767" t="str">
            <v>REACTIVOS QUIMICOS. ACETATO DE SODIO ANHIDRO. RA. POLVO. FRASCO CON 500 G. TA.</v>
          </cell>
          <cell r="U3767">
            <v>26</v>
          </cell>
          <cell r="V3767">
            <v>65</v>
          </cell>
        </row>
        <row r="3768">
          <cell r="A3768">
            <v>3765</v>
          </cell>
          <cell r="B3768" t="str">
            <v>080.830.3903</v>
          </cell>
          <cell r="E3768" t="str">
            <v>REACTIVOS QUIMICOS. SULFATO FERRICO DE AMONIO. RA. ACS. CRISTALES. FRASCO CON500 G. TA.</v>
          </cell>
          <cell r="U3768">
            <v>82</v>
          </cell>
          <cell r="V3768">
            <v>203</v>
          </cell>
        </row>
        <row r="3769">
          <cell r="A3769">
            <v>3766</v>
          </cell>
          <cell r="B3769" t="str">
            <v>080.830.3911</v>
          </cell>
          <cell r="E3769" t="str">
            <v>REACTIVOS QUIMICOS. SULFATO DE ZINC. 7H2O. RA. ACS. CRISTALES. FRASCO CON 500 G.TA.</v>
          </cell>
          <cell r="U3769">
            <v>1432</v>
          </cell>
          <cell r="V3769">
            <v>3578</v>
          </cell>
        </row>
        <row r="3770">
          <cell r="A3770">
            <v>3767</v>
          </cell>
          <cell r="B3770" t="str">
            <v>080.830.3945</v>
          </cell>
          <cell r="E3770" t="str">
            <v>REACTIVOS QUIMICOS. ACIDO FOSFOTUNGSTICO. RA. CRISTALES. FRASCO CON 100 G. TA.</v>
          </cell>
          <cell r="U3770">
            <v>226</v>
          </cell>
          <cell r="V3770">
            <v>562</v>
          </cell>
        </row>
        <row r="3771">
          <cell r="A3771">
            <v>3768</v>
          </cell>
          <cell r="B3771" t="str">
            <v>080.830.4042</v>
          </cell>
          <cell r="E3771" t="str">
            <v>REACTIVOS QUIMICOS. ACIDO NITRICO. RA. ACS. FRASCO CON 1000 ML. TA.</v>
          </cell>
          <cell r="U3771">
            <v>706</v>
          </cell>
          <cell r="V3771">
            <v>1765</v>
          </cell>
        </row>
        <row r="3772">
          <cell r="A3772">
            <v>3769</v>
          </cell>
          <cell r="B3772" t="str">
            <v>080.830.4174</v>
          </cell>
          <cell r="E3772" t="str">
            <v>REACTIVOS QUIMICOS. ACIDO PERYODICO, MINIMO 95.5%. RA. CRISTALES. FRASCO CON 100G. TA.</v>
          </cell>
          <cell r="U3772">
            <v>63</v>
          </cell>
          <cell r="V3772">
            <v>155</v>
          </cell>
        </row>
        <row r="3773">
          <cell r="A3773">
            <v>3770</v>
          </cell>
          <cell r="B3773" t="str">
            <v>080.830.4182</v>
          </cell>
          <cell r="E3773" t="str">
            <v>REACTIVOS QUIMICOS. ACIDO PICRICO. 10 H2O. RA. CRISTALES. FRASCO CON 500 G. TA.</v>
          </cell>
          <cell r="U3773">
            <v>66</v>
          </cell>
          <cell r="V3773">
            <v>164</v>
          </cell>
        </row>
        <row r="3774">
          <cell r="A3774">
            <v>3771</v>
          </cell>
          <cell r="B3774" t="str">
            <v>080.830.4299</v>
          </cell>
          <cell r="E3774" t="str">
            <v>REACTIVOS QUIMICOS. ACIDO SULFURICO (96 A 98%). RA. ACS. FRASCO CON 1000 ML. TA.</v>
          </cell>
          <cell r="U3774">
            <v>41</v>
          </cell>
          <cell r="V3774">
            <v>101</v>
          </cell>
        </row>
        <row r="3775">
          <cell r="A3775">
            <v>3772</v>
          </cell>
          <cell r="B3775" t="str">
            <v>080.830.4349</v>
          </cell>
          <cell r="E3775" t="str">
            <v>REACTIVOS QUIMICOS. ACIDO DL TARTARICO. RA. ACS. POLVO. FRASCO CON 500 G. TA.</v>
          </cell>
          <cell r="U3775">
            <v>9</v>
          </cell>
          <cell r="V3775">
            <v>22</v>
          </cell>
        </row>
        <row r="3776">
          <cell r="A3776">
            <v>3773</v>
          </cell>
          <cell r="B3776" t="str">
            <v>080.830.4364</v>
          </cell>
          <cell r="E3776" t="str">
            <v>REACTIVOS QUIMICOS. ACIDO SULFURICO 2/3 N. FRASCO CON 500 ML. TA.</v>
          </cell>
          <cell r="U3776">
            <v>19</v>
          </cell>
          <cell r="V3776">
            <v>45</v>
          </cell>
        </row>
        <row r="3777">
          <cell r="A3777">
            <v>3774</v>
          </cell>
          <cell r="B3777" t="str">
            <v>080.830.4380</v>
          </cell>
          <cell r="E3777" t="str">
            <v>REACTIVOS QUIMICOS. ACIDO TRICLOROACETICO. RA. ACS. CRISTALES. FRASCO CON 500 G.TA.</v>
          </cell>
          <cell r="U3777">
            <v>50</v>
          </cell>
          <cell r="V3777">
            <v>124</v>
          </cell>
        </row>
        <row r="3778">
          <cell r="A3778">
            <v>3775</v>
          </cell>
          <cell r="B3778" t="str">
            <v>080.830.4489</v>
          </cell>
          <cell r="E3778" t="str">
            <v>REACTIVOS QUIMICOS. TIOSULFATO DE SODIO (HIPOSULFITO DE SODIO). RA. GRANULADO.FRASCO CON 500 G. TA.</v>
          </cell>
          <cell r="U3778">
            <v>59</v>
          </cell>
          <cell r="V3778">
            <v>144</v>
          </cell>
        </row>
        <row r="3779">
          <cell r="A3779">
            <v>3776</v>
          </cell>
          <cell r="B3779" t="str">
            <v>080.830.4646</v>
          </cell>
          <cell r="E3779" t="str">
            <v>Reactivos Químicos. Alcohol etílico absoluto (etanol). RA. ACS. Frasco con 1000 ml. TA.</v>
          </cell>
          <cell r="U3779">
            <v>50242</v>
          </cell>
          <cell r="V3779">
            <v>125603</v>
          </cell>
        </row>
        <row r="3780">
          <cell r="A3780">
            <v>3777</v>
          </cell>
          <cell r="B3780" t="str">
            <v>080.830.4661</v>
          </cell>
          <cell r="E3780" t="str">
            <v>REACTIVOS QUIMICOS. ALCOHOL ISOPROPILICO. RA. ACS. FRASCO CON 1000 ML. TA.</v>
          </cell>
          <cell r="U3780">
            <v>2378</v>
          </cell>
          <cell r="V3780">
            <v>5944</v>
          </cell>
        </row>
        <row r="3781">
          <cell r="A3781">
            <v>3778</v>
          </cell>
          <cell r="B3781" t="str">
            <v>080.830.4679</v>
          </cell>
          <cell r="E3781" t="str">
            <v>REACTIVOS QUIMICOS. ALCOHOL METILICO (LIBRE DE ACETONA). RA. ACS. FRASCO CON1000 ML. TA.</v>
          </cell>
          <cell r="U3781">
            <v>1240</v>
          </cell>
          <cell r="V3781">
            <v>3096</v>
          </cell>
        </row>
        <row r="3782">
          <cell r="A3782">
            <v>3779</v>
          </cell>
          <cell r="B3782" t="str">
            <v>080.830.4711</v>
          </cell>
          <cell r="E3782" t="str">
            <v>REACTIVOS QUIMICOS. AMARILLO DE METILO (DIMETILAMINOAZOBENCENO). QP. POLVO.FRASCO CON 10 G. TA.</v>
          </cell>
          <cell r="U3782">
            <v>35</v>
          </cell>
          <cell r="V3782">
            <v>84</v>
          </cell>
        </row>
        <row r="3783">
          <cell r="A3783">
            <v>3780</v>
          </cell>
          <cell r="B3783" t="str">
            <v>080.830.4935</v>
          </cell>
          <cell r="E3783" t="str">
            <v>REACTIVOS QUIMICOS. AZUL DE METILENO. QP. POLVO. FRASCO CON 10 G. TA.</v>
          </cell>
          <cell r="U3783">
            <v>190</v>
          </cell>
          <cell r="V3783">
            <v>474</v>
          </cell>
        </row>
        <row r="3784">
          <cell r="A3784">
            <v>3781</v>
          </cell>
          <cell r="B3784" t="str">
            <v>080.830.4984</v>
          </cell>
          <cell r="E3784" t="str">
            <v>REACTIVOS QUIMICOS. AZUL DE TOLUIDINA. POLVO. FRASCO CON 25 G. TA.</v>
          </cell>
          <cell r="U3784">
            <v>59</v>
          </cell>
          <cell r="V3784">
            <v>146</v>
          </cell>
        </row>
        <row r="3785">
          <cell r="A3785">
            <v>3782</v>
          </cell>
          <cell r="B3785" t="str">
            <v>080.830.5049</v>
          </cell>
          <cell r="E3785" t="str">
            <v>REACTIVOS QUIMICOS. BICARBONATO DE SODIO. RA. ACS. POLVO. FRASCO CON 500 G. TA.</v>
          </cell>
          <cell r="U3785">
            <v>63</v>
          </cell>
          <cell r="V3785">
            <v>155</v>
          </cell>
        </row>
        <row r="3786">
          <cell r="A3786">
            <v>3783</v>
          </cell>
          <cell r="B3786" t="str">
            <v>080.830.5130</v>
          </cell>
          <cell r="E3786" t="str">
            <v>REACTIVOS QUIMICOS. VERDE CLARO BRILLANTE. POLVO. FRASCO CON 25 G. TA.</v>
          </cell>
          <cell r="U3786">
            <v>78</v>
          </cell>
          <cell r="V3786">
            <v>194</v>
          </cell>
        </row>
        <row r="3787">
          <cell r="A3787">
            <v>3784</v>
          </cell>
          <cell r="B3787" t="str">
            <v>080.830.5155</v>
          </cell>
          <cell r="E3787" t="str">
            <v>REACTIVOS QUIMICOS. MOLIBDATO DE AMONIO. 4H2O. RA. ACS. CRISTALES. FRASCO CON500 G. TA.</v>
          </cell>
          <cell r="U3787">
            <v>19</v>
          </cell>
          <cell r="V3787">
            <v>45</v>
          </cell>
        </row>
        <row r="3788">
          <cell r="A3788">
            <v>3785</v>
          </cell>
          <cell r="B3788" t="str">
            <v>080.830.5205</v>
          </cell>
          <cell r="E3788" t="str">
            <v>REACTIVOS QUIMICOS. VERDE MALAQUITA. QP. POLVO. FRASCO CON 25 G. TA.</v>
          </cell>
          <cell r="U3788">
            <v>30</v>
          </cell>
          <cell r="V3788">
            <v>74</v>
          </cell>
        </row>
        <row r="3789">
          <cell r="A3789">
            <v>3786</v>
          </cell>
          <cell r="B3789" t="str">
            <v>080.830.5247</v>
          </cell>
          <cell r="E3789" t="str">
            <v>REACTIVOS QUIMICOS. VIOLETA CRISTAL (VIOLETA DE GENCIANA) QP. CRISTALES. FRASCOCON 25 G. TA</v>
          </cell>
          <cell r="U3789">
            <v>248</v>
          </cell>
          <cell r="V3789">
            <v>616</v>
          </cell>
        </row>
        <row r="3790">
          <cell r="A3790">
            <v>3787</v>
          </cell>
          <cell r="B3790" t="str">
            <v>080.830.5270</v>
          </cell>
          <cell r="E3790" t="str">
            <v>REACTIVOS QUIMICOS XILOL. RA. ACS. FRASCO CON 1000 ML. TA.</v>
          </cell>
          <cell r="U3790">
            <v>34063</v>
          </cell>
          <cell r="V3790">
            <v>85156</v>
          </cell>
        </row>
        <row r="3791">
          <cell r="A3791">
            <v>3788</v>
          </cell>
          <cell r="B3791" t="str">
            <v>080.830.5304</v>
          </cell>
          <cell r="E3791" t="str">
            <v>REACTIVOS QUIMICOS. YODO. QP. CRISTALES. FRASCO CON 100 G. TA.</v>
          </cell>
          <cell r="U3791">
            <v>52</v>
          </cell>
          <cell r="V3791">
            <v>126</v>
          </cell>
        </row>
        <row r="3792">
          <cell r="A3792">
            <v>3789</v>
          </cell>
          <cell r="B3792" t="str">
            <v>080.830.5668</v>
          </cell>
          <cell r="E3792" t="str">
            <v>REACTIVOS QUIMICOS. NIGROSINA (SOLUBLE EN ALCOHOL). QP. POLVO. FRASCO CON 25 G.TA.</v>
          </cell>
          <cell r="U3792">
            <v>9</v>
          </cell>
          <cell r="V3792">
            <v>22</v>
          </cell>
        </row>
        <row r="3793">
          <cell r="A3793">
            <v>3790</v>
          </cell>
          <cell r="B3793" t="str">
            <v>080.830.5932</v>
          </cell>
          <cell r="E3793" t="str">
            <v>REACTIVOS QUIMICOS. SAFRANINA O. QP. POLVO. FRASCO CON 10 G. TA.</v>
          </cell>
          <cell r="U3793">
            <v>48</v>
          </cell>
          <cell r="V3793">
            <v>116</v>
          </cell>
        </row>
        <row r="3794">
          <cell r="A3794">
            <v>3791</v>
          </cell>
          <cell r="B3794" t="str">
            <v>080.830.5999</v>
          </cell>
          <cell r="E3794" t="str">
            <v>REACTIVOS QUÍMICOS. FUCSINA BÁSICA. QP. POLVO. FRASCO CON 25 G. TA.</v>
          </cell>
          <cell r="U3794">
            <v>188</v>
          </cell>
          <cell r="V3794">
            <v>467</v>
          </cell>
        </row>
        <row r="3795">
          <cell r="A3795">
            <v>3792</v>
          </cell>
          <cell r="B3795" t="str">
            <v>080.830.6245</v>
          </cell>
          <cell r="E3795" t="str">
            <v>REACTIVOS QUÍMICOS RESINA SINTÉTICA DISUELTA EN XILOL (60%). FRASCO CON 1000 ML. TA.</v>
          </cell>
          <cell r="U3795">
            <v>1827</v>
          </cell>
          <cell r="V3795">
            <v>4567</v>
          </cell>
        </row>
        <row r="3796">
          <cell r="A3796">
            <v>3793</v>
          </cell>
          <cell r="B3796" t="str">
            <v>080.830.8084</v>
          </cell>
          <cell r="E3796" t="str">
            <v>REACTIVOS QUIMICOS. ALCOHOL ETILICO ABSOLUTO. GRADO BIOLOGIA MOLECULAR. FRASCOCON 1 LITRO. TA.</v>
          </cell>
          <cell r="U3796">
            <v>565</v>
          </cell>
          <cell r="V3796">
            <v>1412</v>
          </cell>
        </row>
        <row r="3797">
          <cell r="A3797">
            <v>3794</v>
          </cell>
          <cell r="B3797" t="str">
            <v>080.830.8209</v>
          </cell>
          <cell r="E3797" t="str">
            <v>REACTIVOS QUIMICOS. GIEMSA POLVO. QP. FRASCO CON 25 G. TA.</v>
          </cell>
          <cell r="U3797">
            <v>178</v>
          </cell>
          <cell r="V3797">
            <v>442</v>
          </cell>
        </row>
        <row r="3798">
          <cell r="A3798">
            <v>3795</v>
          </cell>
          <cell r="B3798" t="str">
            <v>080.830.9132</v>
          </cell>
          <cell r="E3798" t="str">
            <v>REACTIVOS QUIMICOS. CARBONATO DE LITIO. RA. POLVO. FRASCO CON 250 G. TA.</v>
          </cell>
          <cell r="U3798">
            <v>320</v>
          </cell>
          <cell r="V3798">
            <v>800</v>
          </cell>
        </row>
        <row r="3799">
          <cell r="A3799">
            <v>3796</v>
          </cell>
          <cell r="B3799" t="str">
            <v>080.830.9140</v>
          </cell>
          <cell r="E3799" t="str">
            <v>REACTIVOS QUIMICOS. CLORURO DE POTASIO. RA. ACS. GRANULADO. FRASCO CON 500 G.TA.</v>
          </cell>
          <cell r="U3799">
            <v>98</v>
          </cell>
          <cell r="V3799">
            <v>242</v>
          </cell>
        </row>
        <row r="3800">
          <cell r="A3800">
            <v>3797</v>
          </cell>
          <cell r="B3800" t="str">
            <v>080.830.9298</v>
          </cell>
          <cell r="E3800" t="str">
            <v>REACTIVOS QUIMICOS. ROJO OLEOSO. QP. POLVO. FRASCO CON 25 G. TA.</v>
          </cell>
          <cell r="U3800">
            <v>49</v>
          </cell>
          <cell r="V3800">
            <v>122</v>
          </cell>
        </row>
        <row r="3801">
          <cell r="A3801">
            <v>3798</v>
          </cell>
          <cell r="B3801" t="str">
            <v>080.830.9389</v>
          </cell>
          <cell r="E3801" t="str">
            <v>REACTIVOS QUIMICOS. SUDAN NEGRO B. COLORANTE BIOLOGICO. FRASCO CON 25 G. TA.</v>
          </cell>
          <cell r="U3801">
            <v>50</v>
          </cell>
          <cell r="V3801">
            <v>123</v>
          </cell>
        </row>
        <row r="3802">
          <cell r="A3802">
            <v>3799</v>
          </cell>
          <cell r="B3802" t="str">
            <v>080.830.9439</v>
          </cell>
          <cell r="E3802" t="str">
            <v>REACTIVOS QUIMICOS. TIMOL. NF. CRISTALES. FRASCO CON 250 G. TA.</v>
          </cell>
          <cell r="U3802">
            <v>9</v>
          </cell>
          <cell r="V3802">
            <v>21</v>
          </cell>
        </row>
        <row r="3803">
          <cell r="A3803">
            <v>3800</v>
          </cell>
          <cell r="B3803" t="str">
            <v>080.830.9595</v>
          </cell>
          <cell r="E3803" t="str">
            <v>REACTIVOS QUIMICOS. TWEEN 20 (MONOLAURATO DE POLIOXIETILENSORBITAN). TECNICO.FRASCO CON 500 G. TA.</v>
          </cell>
          <cell r="U3803">
            <v>27</v>
          </cell>
          <cell r="V3803">
            <v>64</v>
          </cell>
        </row>
        <row r="3804">
          <cell r="A3804">
            <v>3801</v>
          </cell>
          <cell r="B3804" t="str">
            <v>080.830.9660</v>
          </cell>
          <cell r="E3804" t="str">
            <v>REACTIVOS QUIMICOS. VERDE LUZ (VERDE RAPIDO) FCF. QP. POLVO. FRASCO CON 25 G.TA.</v>
          </cell>
          <cell r="U3804">
            <v>29</v>
          </cell>
          <cell r="V3804">
            <v>72</v>
          </cell>
        </row>
        <row r="3805">
          <cell r="A3805">
            <v>3802</v>
          </cell>
          <cell r="B3805" t="str">
            <v>080.831.0163</v>
          </cell>
          <cell r="E3805" t="str">
            <v>REACTIVOS QUIMICOS. AGAROSA PARA ELECTROFORESIS. FRASCO CON 100 G. TA.</v>
          </cell>
          <cell r="U3805">
            <v>40</v>
          </cell>
          <cell r="V3805">
            <v>98</v>
          </cell>
        </row>
        <row r="3806">
          <cell r="A3806">
            <v>3803</v>
          </cell>
          <cell r="B3806" t="str">
            <v>080.831.0544</v>
          </cell>
          <cell r="E3806" t="str">
            <v>REACTIVOS QUIMICOS. ACETATO DE URANILO. RA. FRASCO CON 25 G. TA.</v>
          </cell>
          <cell r="U3806">
            <v>4</v>
          </cell>
          <cell r="V3806">
            <v>6</v>
          </cell>
        </row>
        <row r="3807">
          <cell r="A3807">
            <v>3804</v>
          </cell>
          <cell r="B3807" t="str">
            <v>080.832.0071</v>
          </cell>
          <cell r="E3807" t="str">
            <v>REACTIVOS QUIMICOS. AZUL TRIPANO. QP. POLVO. FRASCO CON 25 G. TA.</v>
          </cell>
          <cell r="U3807">
            <v>12</v>
          </cell>
          <cell r="V3807">
            <v>26</v>
          </cell>
        </row>
        <row r="3808">
          <cell r="A3808">
            <v>3805</v>
          </cell>
          <cell r="B3808" t="str">
            <v>080.832.0543</v>
          </cell>
          <cell r="E3808" t="str">
            <v>REACTIVOS Y JUEGOS DE REACTIVOS PARA PRUEBAS ESPECIFICAS. SULFATO DE ALUMINIO.RA. CRISTALES. FRASCO CON 500 G. TA.</v>
          </cell>
          <cell r="U3808">
            <v>11</v>
          </cell>
          <cell r="V3808">
            <v>25</v>
          </cell>
        </row>
        <row r="3809">
          <cell r="A3809">
            <v>3806</v>
          </cell>
          <cell r="B3809" t="str">
            <v>080.832.1012</v>
          </cell>
          <cell r="E3809" t="str">
            <v>SUSTANCIAS BIOLOGICAS, ANTIGENOS, SUEROS. FITOHEMAGLUTININA M. FRASCO CON 10 ML.RTC.</v>
          </cell>
          <cell r="U3809">
            <v>164</v>
          </cell>
          <cell r="V3809">
            <v>410</v>
          </cell>
        </row>
        <row r="3810">
          <cell r="A3810">
            <v>3807</v>
          </cell>
          <cell r="B3810" t="str">
            <v>080.832.4230</v>
          </cell>
          <cell r="E3810" t="str">
            <v>REACTIVOS QUIMICOS. RESINA SINTETICA. MEDIO DE MONTAJE RAPIDO PARA PREPARACIONESHISTOLOGICAS ORDINARIAS Y DE MICROSCOPIA ELECTRONICA. ENVASE CON 500 ML.</v>
          </cell>
          <cell r="U3810">
            <v>570</v>
          </cell>
          <cell r="V3810">
            <v>1422</v>
          </cell>
        </row>
        <row r="3811">
          <cell r="A3811">
            <v>3808</v>
          </cell>
          <cell r="B3811" t="str">
            <v>080.832.4248</v>
          </cell>
          <cell r="E3811" t="str">
            <v>MEDIOS DE CAPACITACION ESPERMATICA. KIT DE SOLUCIONES DE GRADIENTES PARAESPERMAS. KIT DE SOLUCIONES DE GRADIENTE PARA ESPERMAS ES UN JUEGO DE DOSDIFERENTES SOLUCIONES, COMPUESTAS DE PARTICULAS DE SILICE RECUBIERTAS DE SILANOHIDROFILICO, CONCENTRADAS AL 40% Y AL 80% RESPECTIVAMENTE. SUPLEMENTADO CONALBUMINA SERICA HUMANA (10 MG/ML) Y GENTAMICINA (0.01MG/ML) CON PH DE 7.7 A 7.9,OSMOLARIDAD DE 285 A 295 MOSM/KG MEA &gt; 75%. ENDOTOXINAS &lt;0.4 EU/ML. JUEGO DEREACTIVOS. FRASCO CON 50 ML DE CADA SOLUCION. RTC.</v>
          </cell>
          <cell r="U3811">
            <v>54</v>
          </cell>
          <cell r="V3811">
            <v>134</v>
          </cell>
        </row>
        <row r="3812">
          <cell r="A3812">
            <v>3809</v>
          </cell>
          <cell r="B3812" t="str">
            <v>080.832.4263</v>
          </cell>
          <cell r="E3812" t="str">
            <v>MEDIOS DE CAPACITACION ESPERMATICA. MEDIO DE CULTIVO PARA ESPERMAS. MEDIO DECULTIVO PARA PREPARACION DE ESPERMAS (EN LA INSEMINACION INTRAUTERINA).SUPLEMENTADO CON ALBUMINA SERICA HUMANA. OSMOLARIDAD DE 285 A 295 MOSM/KG MEA &gt;75%. ENDOTOXINAS &lt; 0.4 EU/ML. FRASCO CON 100 ML. RTC.</v>
          </cell>
          <cell r="U3812">
            <v>24</v>
          </cell>
          <cell r="V3812">
            <v>58</v>
          </cell>
        </row>
        <row r="3813">
          <cell r="A3813">
            <v>3810</v>
          </cell>
          <cell r="B3813" t="str">
            <v>080.835.0102</v>
          </cell>
          <cell r="E3813" t="str">
            <v>Sustancias Biológicas Anti AB. Antisuero para tipificar la sangre de origen monoclonal. Frasco con 10 ml. RTC.</v>
          </cell>
          <cell r="U3813">
            <v>22903</v>
          </cell>
          <cell r="V3813">
            <v>57255</v>
          </cell>
        </row>
        <row r="3814">
          <cell r="A3814">
            <v>3811</v>
          </cell>
          <cell r="B3814" t="str">
            <v>080.835.0110</v>
          </cell>
          <cell r="E3814" t="str">
            <v>Sustancias Biológicas Anti Rh (D) albuminoso. Antisuero para tipificar la sangre de origen monoclonal. Frasco con 10 ml. RTC.</v>
          </cell>
          <cell r="U3814">
            <v>27206</v>
          </cell>
          <cell r="V3814">
            <v>68013</v>
          </cell>
        </row>
        <row r="3815">
          <cell r="A3815">
            <v>3812</v>
          </cell>
          <cell r="B3815" t="str">
            <v>080.835.0128</v>
          </cell>
          <cell r="E3815" t="str">
            <v>SUSTANCIAS BIOLOGICAS. ANTI-RH (ANTI-C). ANTICUERPOS PARA TIPIFICAR SANGRE.FRASCO DE 2 Y 5 ML. RTC.</v>
          </cell>
          <cell r="U3815">
            <v>102</v>
          </cell>
          <cell r="V3815">
            <v>254</v>
          </cell>
        </row>
        <row r="3816">
          <cell r="A3816">
            <v>3813</v>
          </cell>
          <cell r="B3816" t="str">
            <v>080.835.0136</v>
          </cell>
          <cell r="E3816" t="str">
            <v>SUSTANCIAS BIOLOGICAS. ANTI-RH (ANTI - E MINUSCULA). ANTICUERPOS PARA TIPIFICARSANGRE. FRASCO CON 2 Y 5 ML. RTC.</v>
          </cell>
          <cell r="U3816">
            <v>42</v>
          </cell>
          <cell r="V3816">
            <v>102</v>
          </cell>
        </row>
        <row r="3817">
          <cell r="A3817">
            <v>3814</v>
          </cell>
          <cell r="B3817" t="str">
            <v>080.835.0144</v>
          </cell>
          <cell r="E3817" t="str">
            <v>SUSTANCIAS BIOLOGICAS. ANTI RH (D) SALINO. ANTISUERO PARA TIPIFICAR LA SANGRE,DE ORIGEN MONOCLONAL. FRASCO CON 10 ML. RTC.</v>
          </cell>
          <cell r="U3817">
            <v>778</v>
          </cell>
          <cell r="V3817">
            <v>1942</v>
          </cell>
        </row>
        <row r="3818">
          <cell r="A3818">
            <v>3815</v>
          </cell>
          <cell r="B3818" t="str">
            <v>080.835.0490</v>
          </cell>
          <cell r="E3818" t="str">
            <v>SUSTANCIAS BIOLOGICAS, ANTIGENOS, SUEROS. SUERO FETAL LIBRE DE VIRUS YMICOPLASMA. FRASCO CON 100 ML. RTC.</v>
          </cell>
          <cell r="U3818">
            <v>194</v>
          </cell>
          <cell r="V3818">
            <v>482</v>
          </cell>
        </row>
        <row r="3819">
          <cell r="A3819">
            <v>3816</v>
          </cell>
          <cell r="B3819" t="str">
            <v>080.835.0573</v>
          </cell>
          <cell r="E3819" t="str">
            <v>SUSTANCIAS BIOLOGICAS FEBRILES. ANTIGENOS PARA AGLUTINACION MACROSCOPICA ENPLACA O TUBO PARA EL DIAGNOSTICO SEROLOGICO EN PROCESOS INFECCIOSOS PRODUCIDOSPOR MICROORGANISMOS DE LOS GENEROS: SALMONELLA Y BRUCELLA. JUEGO COMPUESTO DE:SUERO CONTROL POSITIVO. FRASCO GOTERO CON 5 ML. RTC. NOTA: (SE PUEDE SOLICITARCOMPLETO EL JUEGO CON TODOS LOS ANTIGENOS O CADA UNO POR SEPARADO).</v>
          </cell>
          <cell r="U3819">
            <v>915</v>
          </cell>
          <cell r="V3819">
            <v>2284</v>
          </cell>
        </row>
        <row r="3820">
          <cell r="A3820">
            <v>3817</v>
          </cell>
          <cell r="B3820" t="str">
            <v>080.835.0581</v>
          </cell>
          <cell r="E3820" t="str">
            <v>SUSTANCIAS BIOLOGICAS. FEBRILES. ANTIGENOS PARA AGLUTINACION MACROSCOPICA ENPLACA O TUBO PARA EL DIAGNOSTICO SEROLOGICO EN PROCESOS INFECCIOSOS PRODUCIDOSPOR MICROORGANISMOS DE LOS GENEROS: SALMONELLA Y BRUCELLA. JUEGO COMPUESTO DE:SUERO CONTROL NEGATIVO. FRASCO GOTERO CON 5 ML. RTC. NOTA: (SE PUEDE SOLICITARCOMPLETO EL JUEGO CON TODOS LOS ANTIGENOS O CADA UNO POR SEPARADO).</v>
          </cell>
          <cell r="U3820">
            <v>1047</v>
          </cell>
          <cell r="V3820">
            <v>2615</v>
          </cell>
        </row>
        <row r="3821">
          <cell r="A3821">
            <v>3818</v>
          </cell>
          <cell r="B3821" t="str">
            <v>080.835.0607</v>
          </cell>
          <cell r="E3821" t="str">
            <v>Sustancias Biológicas Anti A. Antisuero para tipificar la sangre de origen monoclonal. Frasco con 10 ml. RTC.</v>
          </cell>
          <cell r="U3821">
            <v>24397</v>
          </cell>
          <cell r="V3821">
            <v>60992</v>
          </cell>
        </row>
        <row r="3822">
          <cell r="A3822">
            <v>3819</v>
          </cell>
          <cell r="B3822" t="str">
            <v>080.835.0615</v>
          </cell>
          <cell r="E3822" t="str">
            <v>Sustancias Biológicas Anti B. Antisuero para tipificar la sangre de origen monoclonal. Frasco con 10 ml. RTC.</v>
          </cell>
          <cell r="U3822">
            <v>24657</v>
          </cell>
          <cell r="V3822">
            <v>61641</v>
          </cell>
        </row>
        <row r="3823">
          <cell r="A3823">
            <v>3820</v>
          </cell>
          <cell r="B3823" t="str">
            <v>080.835.6877</v>
          </cell>
          <cell r="E3823" t="str">
            <v>SUEROS PARA TIPIFICAR LA SANGRE, MEDIOS PROTEICOS, ENZIMAS Y ANTIGENOS. ANTIDIEGO-B. FRASCO CON 2 ML. RTC.</v>
          </cell>
          <cell r="U3823">
            <v>48</v>
          </cell>
          <cell r="V3823">
            <v>118</v>
          </cell>
        </row>
        <row r="3824">
          <cell r="A3824">
            <v>3821</v>
          </cell>
          <cell r="B3824" t="str">
            <v>080.835.6885</v>
          </cell>
          <cell r="E3824" t="str">
            <v>SUEROS PARA TIPIFICAR LA SANGRE, MEDIOS PROTEICOS, ENZIMAS Y ANTIGENOS. ANTIKIDD-b. FRASCO DE 2 Y 5 ML. RTC.</v>
          </cell>
          <cell r="U3824">
            <v>60</v>
          </cell>
          <cell r="V3824">
            <v>150</v>
          </cell>
        </row>
        <row r="3825">
          <cell r="A3825">
            <v>3822</v>
          </cell>
          <cell r="B3825" t="str">
            <v>080.835.6893</v>
          </cell>
          <cell r="E3825" t="str">
            <v>SUEROS PARA TIPIFICAR LA SANGRE, MEDIOS PROTEICOS, ENZIMAS Y ANTIGENOSN. KPB(PENNY B). FRASCO CON 2 ML. RTC.</v>
          </cell>
          <cell r="U3825">
            <v>68</v>
          </cell>
          <cell r="V3825">
            <v>168</v>
          </cell>
        </row>
        <row r="3826">
          <cell r="A3826">
            <v>3823</v>
          </cell>
          <cell r="B3826" t="str">
            <v>080.835.6901</v>
          </cell>
          <cell r="E3826" t="str">
            <v>SUEROS PARA TIPIFICAR LA SANGRE, MEDIOS PROTEICOS, ENZIMAS Y ANTIGENOS.ANTI-LUTHERAN B. FRASCO CON 2 ML. RTC.</v>
          </cell>
          <cell r="U3826">
            <v>42</v>
          </cell>
          <cell r="V3826">
            <v>102</v>
          </cell>
        </row>
        <row r="3827">
          <cell r="A3827">
            <v>3824</v>
          </cell>
          <cell r="B3827" t="str">
            <v>080.835.6919</v>
          </cell>
          <cell r="E3827" t="str">
            <v>SUEROS PARA TIPIFICAR LA SANGRE, MEDIOS PROTEICOS, ENZIMAS Y ANTIGENOS. ANTI-LEWIS b. FRASCO DE  2 Y 5 ML. RTC.</v>
          </cell>
          <cell r="U3827">
            <v>16</v>
          </cell>
          <cell r="V3827">
            <v>40</v>
          </cell>
        </row>
        <row r="3828">
          <cell r="A3828">
            <v>3825</v>
          </cell>
          <cell r="B3828" t="str">
            <v>080.835.6927</v>
          </cell>
          <cell r="E3828" t="str">
            <v>SUEROS PARA TIPIFICAR LA SANGRE, MEDIOS PROTEICOS, ENZIMAS Y ANTIGENOS. ANTI-DUFFY b. FRASCO DE  2 Y 5 ML. RTC.</v>
          </cell>
          <cell r="U3828">
            <v>48</v>
          </cell>
          <cell r="V3828">
            <v>116</v>
          </cell>
        </row>
        <row r="3829">
          <cell r="A3829">
            <v>3826</v>
          </cell>
          <cell r="B3829" t="str">
            <v>080.855.0164</v>
          </cell>
          <cell r="E3829" t="str">
            <v>POMADERAS. POMADERA DE POLIETILENO DE ALTA DENSIDAD (60003) NATURAL. CON TAPONTIPO ROSCA. CIERRE HERMETICO. ENVASE, TARRO DE 60 ML. PIEZA.</v>
          </cell>
          <cell r="U3829">
            <v>2242710</v>
          </cell>
          <cell r="V3829">
            <v>5606774</v>
          </cell>
        </row>
        <row r="3830">
          <cell r="A3830">
            <v>3827</v>
          </cell>
          <cell r="B3830" t="str">
            <v>080.889.0024</v>
          </cell>
          <cell r="E3830" t="str">
            <v>TIRAS REACTIVAS. TIRA REACTIVA PARA MEDIR PH. ESTUCHE CON ESCALA DE MATICES Y100 TIRAS DE PAPEL CON LIMITES DE PH DE 0 A 14. TA.</v>
          </cell>
          <cell r="U3830">
            <v>2627</v>
          </cell>
          <cell r="V3830">
            <v>6566</v>
          </cell>
        </row>
        <row r="3831">
          <cell r="A3831">
            <v>3828</v>
          </cell>
          <cell r="B3831" t="str">
            <v>080.889.0057</v>
          </cell>
          <cell r="E3831" t="str">
            <v>TIRAS REACTIVAS. PRUEBA CUALITATIVA CON TECNICA INMUNOLOGICA O INMUNOQUIMICAPARA DETERMINAR SANGRE OCULTA EN HECES, POR MEDIO DE UNA TARJETA, CASSETE, PLACAO TIRA REACTIVA FRASCO O EQUIPO PARA 50 PRUEBAS.</v>
          </cell>
          <cell r="U3831">
            <v>26789</v>
          </cell>
          <cell r="V3831">
            <v>66972</v>
          </cell>
        </row>
        <row r="3832">
          <cell r="A3832">
            <v>3829</v>
          </cell>
          <cell r="B3832" t="str">
            <v>080.889.0099</v>
          </cell>
          <cell r="E3832" t="str">
            <v>TIRAS REACTIVAS. TIRAS REACTIVAS PARA DETERMINAR, COMO MINIMO 10 PARAMETROS ENORINA: GLUCOSA, BILIRRUBINAS, CETONAS, GRAVEDAD ESPECIFICA, SANGRE, PH,PROTEINAS, UROBILINOGENO, NITRITOS, LEUCOCITOS. FRASCO CON 100 TIRAS. TATC.</v>
          </cell>
          <cell r="U3832">
            <v>63566</v>
          </cell>
          <cell r="V3832">
            <v>158914</v>
          </cell>
        </row>
        <row r="3833">
          <cell r="A3833">
            <v>3830</v>
          </cell>
          <cell r="B3833" t="str">
            <v>080.889.0115</v>
          </cell>
          <cell r="E3833" t="str">
            <v>TIRAS REACTIVAS TIRA REACTIVA PARA DETERMINACIÓN SEMICUANTITATIVA DE GLUCOSA EN SANGRE CON LÍMITES DE DETECCIÓN QUE VAN DE 20 A 800 MG/DL. FRASCO CON 50 TIRAS. TA.</v>
          </cell>
          <cell r="U3833">
            <v>234958</v>
          </cell>
          <cell r="V3833">
            <v>587392</v>
          </cell>
        </row>
        <row r="3834">
          <cell r="A3834">
            <v>3831</v>
          </cell>
          <cell r="B3834" t="str">
            <v>080.889.0164</v>
          </cell>
          <cell r="E3834" t="str">
            <v>JARRAS. PARA COMPROBAR LA ANAEROBIOSIS TOTAL EN JARRA PARA ANAEROBIOS DE 2.5LITROS. TIRA REACTIVA CON INDICADOR IMPREGNADO. ENVASE CON 50. RTC.</v>
          </cell>
          <cell r="U3834">
            <v>201</v>
          </cell>
          <cell r="V3834">
            <v>501</v>
          </cell>
        </row>
        <row r="3835">
          <cell r="A3835">
            <v>3832</v>
          </cell>
          <cell r="B3835" t="str">
            <v>080.889.0172</v>
          </cell>
          <cell r="E3835" t="str">
            <v>TIRAS. PARA LA PRUEBA DE OXIDASA BACTERIANA. ENVASE CON 50. RTC.</v>
          </cell>
          <cell r="U3835">
            <v>362</v>
          </cell>
          <cell r="V3835">
            <v>901</v>
          </cell>
        </row>
        <row r="3836">
          <cell r="A3836">
            <v>3833</v>
          </cell>
          <cell r="B3836" t="str">
            <v>080.889.2376</v>
          </cell>
          <cell r="E3836" t="str">
            <v>TIRAS REACTIVAS. TIRA REACTIVA PARA DETERMINAR GLUCOSA EN ORINA. 50 TIRAS. TA.</v>
          </cell>
          <cell r="U3836">
            <v>167</v>
          </cell>
          <cell r="V3836">
            <v>415</v>
          </cell>
        </row>
        <row r="3837">
          <cell r="A3837">
            <v>3834</v>
          </cell>
          <cell r="B3837" t="str">
            <v>080.889.2533</v>
          </cell>
          <cell r="E3837" t="str">
            <v>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v>
          </cell>
          <cell r="U3837">
            <v>58582369</v>
          </cell>
          <cell r="V3837">
            <v>146455920</v>
          </cell>
        </row>
        <row r="3838">
          <cell r="A3838">
            <v>3835</v>
          </cell>
          <cell r="B3838" t="str">
            <v>080.889.2632</v>
          </cell>
          <cell r="E3838" t="str">
            <v>Tiras Reactivas Tira reactiva para la determinación semicuantitativa de microalbúmina en orina en un rango de 10 a 100 mg/L en un tiempo aproximado de un minuto. Tubo con 25, 30 o 50 tiras reactivas. RTC y/o TA.</v>
          </cell>
          <cell r="U3838">
            <v>1300206</v>
          </cell>
          <cell r="V3838">
            <v>3250514</v>
          </cell>
        </row>
        <row r="3839">
          <cell r="A3839">
            <v>3836</v>
          </cell>
          <cell r="B3839" t="str">
            <v>080.909.0509</v>
          </cell>
          <cell r="E3839" t="str">
            <v>Tubos. De ensaye; vidrio refractario sin labio en dimensiones de: 10 x 75 mm. Pieza.</v>
          </cell>
          <cell r="U3839">
            <v>36641</v>
          </cell>
          <cell r="V3839">
            <v>91599</v>
          </cell>
        </row>
        <row r="3840">
          <cell r="A3840">
            <v>3837</v>
          </cell>
          <cell r="B3840" t="str">
            <v>080.909.0525</v>
          </cell>
          <cell r="E3840" t="str">
            <v>TUBOS. DE ENSAYE; VIDRIO REFRACTARIO SIN LABIO, EN DIMENSIONES DE: 12 X 75 MM.PIEZA.</v>
          </cell>
          <cell r="U3840">
            <v>1769616</v>
          </cell>
          <cell r="V3840">
            <v>4424038</v>
          </cell>
        </row>
        <row r="3841">
          <cell r="A3841">
            <v>3838</v>
          </cell>
          <cell r="B3841" t="str">
            <v>080.909.0541</v>
          </cell>
          <cell r="E3841" t="str">
            <v>TUBOS. DE ENSAYE; VIDRIO REFRACTARIO SIN LABIO, EN DIMENSIONES DE: 13 X 100 MM.PIEZA.</v>
          </cell>
          <cell r="U3841">
            <v>2024754</v>
          </cell>
          <cell r="V3841">
            <v>5061884</v>
          </cell>
        </row>
        <row r="3842">
          <cell r="A3842">
            <v>3839</v>
          </cell>
          <cell r="B3842" t="str">
            <v>080.909.0632</v>
          </cell>
          <cell r="E3842" t="str">
            <v>TUBOS. PARA MICROHEMATOCRITO CAPILAR DE VIDRIO DE 75 MM DE LONGITUD Y 1 MM DEDIAMETRO, CON ANTICOAGULANTE. ENVASE CON 100.</v>
          </cell>
          <cell r="U3842">
            <v>823</v>
          </cell>
          <cell r="V3842">
            <v>2056</v>
          </cell>
        </row>
        <row r="3843">
          <cell r="A3843">
            <v>3840</v>
          </cell>
          <cell r="B3843" t="str">
            <v>080.909.0640</v>
          </cell>
          <cell r="E3843" t="str">
            <v>TUBOS. PARA MICROHEMATOCRITO CAPILAR DE VIDRIO DE 75 MM DE LONGITUD Y 1 MM DEDIAMETRO, SIN ANTICOAGULANTE. ENVASE CON 100.</v>
          </cell>
          <cell r="U3843">
            <v>4149</v>
          </cell>
          <cell r="V3843">
            <v>10369</v>
          </cell>
        </row>
        <row r="3844">
          <cell r="A3844">
            <v>3841</v>
          </cell>
          <cell r="B3844" t="str">
            <v>080.909.1341</v>
          </cell>
          <cell r="E3844" t="str">
            <v>TUBOS. PARA LA TOMA Y RECOLECCION DE SANGRE. DE VIDRIO AL VACIO (10.25 X 64 MM)DESECHABLE PARA ADULTO, CON CITRATO DE SODIO 0.129 MOLAR (0.3 ML) LIQUIDO, TAPONAZUL. EL TAPON Y EL INTERIOR DEL TUBO RECUBIERTO CON SILICON. VOLUMEN DE DRENADO2.7-3 ML (+/- 0.3 ML), EL RANGO MENOR ESTABLECE EL VOLUMEN DE DRENADO A LAALTURA DEL ALTIPLANO MEXICANO Y EL RANGO MAYOR A NIVEL DEL MAR. ETIQUETADOSINDIVIDUALMENTE CON NUMERO DE LOTE Y FECHA DE CADUCIDAD. CON O SIN TAPON DESEGURIDAD. CAJA CON 100.</v>
          </cell>
          <cell r="U3844">
            <v>4444</v>
          </cell>
          <cell r="V3844">
            <v>11108</v>
          </cell>
        </row>
        <row r="3845">
          <cell r="A3845">
            <v>3842</v>
          </cell>
          <cell r="B3845" t="str">
            <v>080.909.1366</v>
          </cell>
          <cell r="E3845" t="str">
            <v>TUBOS. TUBOS DE POLIESTIRENO CON TAPON, DE 12 MM X 75 MM PARA LA DETERMINACIONDE PRUEBAS POR RADIOINMUNOANALISIS Y FRACCION DE SUEROS. BOLSA CON 250 TUBOS.</v>
          </cell>
          <cell r="U3845">
            <v>361</v>
          </cell>
          <cell r="V3845">
            <v>900</v>
          </cell>
        </row>
        <row r="3846">
          <cell r="A3846">
            <v>3843</v>
          </cell>
          <cell r="B3846" t="str">
            <v>080.909.1507</v>
          </cell>
          <cell r="E3846" t="str">
            <v>TUBOS. PARA MICROCENTRIFUGA, DE POLIPROPILENO, CON CAPACIDAD DE 1.5 ML, COLORESROJO, AZUL, VERDE, AMARILLO Y BLANCO. CAJA CON 500 PIEZAS.</v>
          </cell>
          <cell r="U3846">
            <v>115</v>
          </cell>
          <cell r="V3846">
            <v>286</v>
          </cell>
        </row>
        <row r="3847">
          <cell r="A3847">
            <v>3844</v>
          </cell>
          <cell r="B3847" t="str">
            <v>080.909.1515</v>
          </cell>
          <cell r="E3847" t="str">
            <v>TUBOS. PARA MICROCENTRIFUGA, DE POLIPROPILENO CON CAPACIDAD DE 0.6 ML, COLORBLANCO. CAJA CON 500 PIEZAS.</v>
          </cell>
          <cell r="U3847">
            <v>124</v>
          </cell>
          <cell r="V3847">
            <v>306</v>
          </cell>
        </row>
        <row r="3848">
          <cell r="A3848">
            <v>3845</v>
          </cell>
          <cell r="B3848" t="str">
            <v>080.909.1531</v>
          </cell>
          <cell r="E3848" t="str">
            <v>TUBOS. DE POLIPROPILENO DE 12 X 75 MM. PIEZA.</v>
          </cell>
          <cell r="U3848">
            <v>42147</v>
          </cell>
          <cell r="V3848">
            <v>105365</v>
          </cell>
        </row>
        <row r="3849">
          <cell r="A3849">
            <v>3846</v>
          </cell>
          <cell r="B3849" t="str">
            <v>080.909.1556</v>
          </cell>
          <cell r="E3849" t="str">
            <v>TUBOS. CONICOS DE POLIPROPILENO DE 15 ML. PIEZA.</v>
          </cell>
          <cell r="U3849">
            <v>157532</v>
          </cell>
          <cell r="V3849">
            <v>393830</v>
          </cell>
        </row>
        <row r="3850">
          <cell r="A3850">
            <v>3847</v>
          </cell>
          <cell r="B3850" t="str">
            <v>080.909.1648</v>
          </cell>
          <cell r="E3850" t="str">
            <v>TUBOS DE POLIPROPILENO PARA CENTRIFUGA CON CAPACIDAD DE 50 ML GRADUADO CONICO,CON TAPON DE ROSCA, ESTERIL.CAJA CON 400 PIEZAS.</v>
          </cell>
          <cell r="U3850">
            <v>57</v>
          </cell>
          <cell r="V3850">
            <v>141</v>
          </cell>
        </row>
        <row r="3851">
          <cell r="A3851">
            <v>3848</v>
          </cell>
          <cell r="B3851" t="str">
            <v>080.909.1655</v>
          </cell>
          <cell r="E3851" t="str">
            <v>TUBOS DE POLIPROPILENO TIPO EPPENDORFF, CON CAPACIDAD DE 200 MICROLITROS, CONTAPA Y SELLO DE SEGURIDAD, FONDO REDONDEADO RESISTE 16,000 G, SE ESTERILIZAN ENAUTOCLAVE. CALIDAD PCR. BOLSA MINIMO 200, MAXIMO 500 PIEZAS.</v>
          </cell>
          <cell r="U3851">
            <v>8888</v>
          </cell>
          <cell r="V3851">
            <v>22217</v>
          </cell>
        </row>
        <row r="3852">
          <cell r="A3852">
            <v>3849</v>
          </cell>
          <cell r="B3852" t="str">
            <v>080.909.1663</v>
          </cell>
          <cell r="E3852" t="str">
            <v>TUBOS DE POLIPROPILENO TIPO EPPENDORFF, CON CAPACIDAD DE 500 MICROLITROS, CONTAPA Y SELLO DE SEGURIDAD, FONDO REDONDEADO, RESISTE 16,000 G, SE ESTERILIZANEN AUTOCLAVE. CALIDAD PCR. BOLSA CON 500 PIEZAS.</v>
          </cell>
          <cell r="U3852">
            <v>21</v>
          </cell>
          <cell r="V3852">
            <v>52</v>
          </cell>
        </row>
        <row r="3853">
          <cell r="A3853">
            <v>3850</v>
          </cell>
          <cell r="B3853" t="str">
            <v>080.909.1671</v>
          </cell>
          <cell r="E3853" t="str">
            <v>TUBOS DE POLIPROPILENO TIPO EPPENDORFF, CON CAPACIDAD DE 1,500 MICROLITROS, CONTAPA Y SELLO DE SEGURIDAD, FONDO REDONDEADO, RESISTE 16,000 G SE ESTERILIZAN ENAUTOCLAVE. LIBRE DE RNAASA. BOLSA CON 1000 PIEZAS.</v>
          </cell>
          <cell r="U3853">
            <v>2184</v>
          </cell>
          <cell r="V3853">
            <v>5458</v>
          </cell>
        </row>
        <row r="3854">
          <cell r="A3854">
            <v>3851</v>
          </cell>
          <cell r="B3854" t="str">
            <v>080.909.1911</v>
          </cell>
          <cell r="E3854" t="str">
            <v>TUBOS. PARA TOMA DE MUESTRAS DE SANGRE CAPILAR, DE VIDRIO, TIPO NATELSON YCARAWAY, CON CAPACIDAD ENTRE 150 Y 280 MICROLITROS CON ANTICOAGULANTE. CAJA CON100 PIEZAS.</v>
          </cell>
          <cell r="U3854">
            <v>2</v>
          </cell>
          <cell r="V3854">
            <v>2</v>
          </cell>
        </row>
        <row r="3855">
          <cell r="A3855">
            <v>3852</v>
          </cell>
          <cell r="B3855" t="str">
            <v>080.909.2208</v>
          </cell>
          <cell r="E3855" t="str">
            <v>TUBOS. PARA HEMATOCRITO Y SEDIMENTACION GLOBULAR, CON ESCALA EN DOS SENTIDOS DE0 A 100, CON DIMENSIONES DE 115 X 3 MM Y DIVISIONES DE 1 MM, DE VIDRIO. DEWINTROBE. PIEZA.</v>
          </cell>
          <cell r="U3855">
            <v>32474</v>
          </cell>
          <cell r="V3855">
            <v>81183</v>
          </cell>
        </row>
        <row r="3856">
          <cell r="A3856">
            <v>3853</v>
          </cell>
          <cell r="B3856" t="str">
            <v>080.909.5383</v>
          </cell>
          <cell r="E3856" t="str">
            <v>TUBOS DE HULE. PARA LA CONEXION DE GAS AL MECHERO: DE LATEX, COLOR AMBAR,DIAMETRO INTERIOR DE 7 MM (1/4 DE PULGADA), ESPESOR DE LA PARED 3 MM. METRO.</v>
          </cell>
          <cell r="U3856">
            <v>1044</v>
          </cell>
          <cell r="V3856">
            <v>2609</v>
          </cell>
        </row>
        <row r="3857">
          <cell r="A3857">
            <v>3854</v>
          </cell>
          <cell r="B3857" t="str">
            <v>080.909.5391</v>
          </cell>
          <cell r="E3857" t="str">
            <v>TUBOS DE HULE. PARA LIGAR A LOS PACIENTES EN EL MOMENTO DE PUNCIONARLOS, DELATEX, COLOR AMBAR, DIAMETRO DE 5 MM. METRO.</v>
          </cell>
          <cell r="U3857">
            <v>9400</v>
          </cell>
          <cell r="V3857">
            <v>23500</v>
          </cell>
        </row>
        <row r="3858">
          <cell r="A3858">
            <v>3855</v>
          </cell>
          <cell r="B3858" t="str">
            <v>080.909.5557</v>
          </cell>
          <cell r="E3858" t="str">
            <v>TUBOS. PARA LA TOMA Y RECOLECCION DE SANGRE POR PUNCION CAPILAR. DEPOLIPROPILENO TRANSLUCIDO, DESECHABLE. PEDIATRICO, CON GEL SEPARADOR DE SUEROINERTE, 90-140 MG POR TUBO, TAPON ORO, VOLUMEN DE DRENADO 500 MICROLITROS, TAPONRECOLECTOR DE FLUJO. CAJA CON 200.</v>
          </cell>
          <cell r="U3858">
            <v>5036</v>
          </cell>
          <cell r="V3858">
            <v>12588</v>
          </cell>
        </row>
        <row r="3859">
          <cell r="A3859">
            <v>3856</v>
          </cell>
          <cell r="B3859" t="str">
            <v>080.909.5565</v>
          </cell>
          <cell r="E3859" t="str">
            <v>TUBOS. PARA LA TOMA Y RECOLECCION DE SANGRE POR PUNCION CAPILAR. DEPOLIPROPILENO, COLOR AMBAR, CON GEL SEPARADOR INERTE DE SUERO; 90-140 MG PORTUBO, TAPON ORO, VOLUMEN DE DRENADO 500 MICROLITROS TAPON RECOLECTOR DE FLUJO.CAJA CON 200.</v>
          </cell>
          <cell r="U3859">
            <v>3051</v>
          </cell>
          <cell r="V3859">
            <v>7625</v>
          </cell>
        </row>
        <row r="3860">
          <cell r="A3860">
            <v>3857</v>
          </cell>
          <cell r="B3860" t="str">
            <v>080.909.5573</v>
          </cell>
          <cell r="E3860" t="str">
            <v>TUBOS. PARA LA TOMA Y RECOLECCION DE SANGRE POR PUNCION CAPILAR. DEPOLIPROPILENO TRANSLUCIDO, DESECHABLE. PEDIATRICO, SIN ADITIVOS, TAPON ROJO,VOLUMEN DE DRENADO 250-800 MICROLITROS. TAPON RECOLECTOR DE FLUJO. CAJA CON 200.</v>
          </cell>
          <cell r="U3860">
            <v>2588</v>
          </cell>
          <cell r="V3860">
            <v>6468</v>
          </cell>
        </row>
        <row r="3861">
          <cell r="A3861">
            <v>3858</v>
          </cell>
          <cell r="B3861" t="str">
            <v>080.909.5581</v>
          </cell>
          <cell r="E3861" t="str">
            <v>TUBOS. PARA LA TOMA Y RECOLECCION DE SANGRE, POR PUNCION CAPILAR. DEPOLIPROPILENO TRANSLUCIDO CON EDTA Y PERLAS MEZCLADORAS. TAPON LILA, VOLUMEN DEDRENADO 500 MICROLITROS EDTA 22-33 MG POR TUBO; TAPON RECOLECTOR DE FLUJO. CAJACON 200.</v>
          </cell>
          <cell r="U3861">
            <v>1077</v>
          </cell>
          <cell r="V3861">
            <v>2691</v>
          </cell>
        </row>
        <row r="3862">
          <cell r="A3862">
            <v>3859</v>
          </cell>
          <cell r="B3862" t="str">
            <v>080.909.5599</v>
          </cell>
          <cell r="E3862" t="str">
            <v>TUBOS. PARA LA TOMA Y RECOLECCION DE SANGRE POR PUNCION CAPILAR. DEPOLIPROPILENO TRANSLUCIDO, DESECHABLE, PEDIATRICO, CON EDTA DIPOTASICO COMOANTICOAGULANTE, TAPON LILA, VOLUMEN DE DRENADO 250-500 MICROLITROS. TAPONRECOLECTOR DE FLUJO. CAJA CON 200.</v>
          </cell>
          <cell r="U3862">
            <v>6969</v>
          </cell>
          <cell r="V3862">
            <v>17421</v>
          </cell>
        </row>
        <row r="3863">
          <cell r="A3863">
            <v>3860</v>
          </cell>
          <cell r="B3863" t="str">
            <v>080.909.5615</v>
          </cell>
          <cell r="E3863" t="str">
            <v>TUBOS. PARA LA TOMA Y RECOLECCION DE SANGRE, POR PUNCION CAPILAR. DEPOLIPROPILENO TRANSLUCIDO CON HEPARINA DE LITIO Y GEL SEPARADOR DE PLASMA; TAPONVERDE, VOLUMEN DE DRENADO 600 MICROLITROS GEL SEPARADOR 90-140 MG POR TUBO,HEPARINA DE LITIO 2-13 MG POR TUBO, TAPON RECOLECTOR DE FLUJO. CAJA CON 200.</v>
          </cell>
          <cell r="U3863">
            <v>70</v>
          </cell>
          <cell r="V3863">
            <v>174</v>
          </cell>
        </row>
        <row r="3864">
          <cell r="A3864">
            <v>3861</v>
          </cell>
          <cell r="B3864" t="str">
            <v>080.909.6316</v>
          </cell>
          <cell r="E3864" t="str">
            <v>TUBOS. PARA TOMA Y RECOLECCION DE SANGRE, DE VIDRIO, AL VACIO (10.25 X 64 MM),DESECHABLE. PARA ADULTO O USO PEDIATRICO CON 0.06 ML. DE SOLUCION AL 7.5 % DEEDTA K3. TAPON LILA CON SILICON COMO LUBRICANTE, PARA PRUEBAS HEMATOLOGICAS,VOLUMEN DE DRENADO 3 ML. (+/- 0.3 ML) EL RANGO MENOR ESTABLECE EL VOLUMENDRENADO A LA ALTURA DEL ALTIPLANO MEXICANO Y EL RANGO MAYOR A NIVEL DEL MAR.ETIQUETADO INDIVIDUALMENTE CON NUMERO DE LOTE Y FECHA DE CADUCIDAD. CAJA CON 100PIEZAS.</v>
          </cell>
          <cell r="U3864">
            <v>4436</v>
          </cell>
          <cell r="V3864">
            <v>11088</v>
          </cell>
        </row>
        <row r="3865">
          <cell r="A3865">
            <v>3862</v>
          </cell>
          <cell r="B3865" t="str">
            <v>080.909.6472</v>
          </cell>
          <cell r="E3865" t="str">
            <v>TUBOS. TUBO DE VIDRIO DE BOROSILICATO, DE 12 X 75 MM. CAJA CON 250 TUBOS.</v>
          </cell>
          <cell r="U3865">
            <v>374</v>
          </cell>
          <cell r="V3865">
            <v>934</v>
          </cell>
        </row>
        <row r="3866">
          <cell r="A3866">
            <v>3863</v>
          </cell>
          <cell r="B3866" t="str">
            <v>080.909.6480</v>
          </cell>
          <cell r="E3866" t="str">
            <v>TUBOS. CRIOTUBOS ESTERILES CON TAPA DE POLIPROPILENO DE 2 ML PARA TEMPERATURASINFERIORES A MENOS 120 GRADOS CENTIGRADOS. ENVASE CON MINIMO 500 PIEZAS.</v>
          </cell>
          <cell r="U3866">
            <v>16</v>
          </cell>
          <cell r="V3866">
            <v>38</v>
          </cell>
        </row>
        <row r="3867">
          <cell r="A3867">
            <v>3864</v>
          </cell>
          <cell r="B3867" t="str">
            <v>080.909.6498</v>
          </cell>
          <cell r="E3867" t="str">
            <v>Tubos 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v>
          </cell>
          <cell r="U3867">
            <v>510544</v>
          </cell>
          <cell r="V3867">
            <v>1276357</v>
          </cell>
        </row>
        <row r="3868">
          <cell r="A3868">
            <v>3865</v>
          </cell>
          <cell r="B3868" t="str">
            <v>080.909.6506</v>
          </cell>
          <cell r="E3868" t="str">
            <v>Tubos Tubo sistema para toma y recolección de sangre de plástico PET al vacío (13 x 75 mm) desechable para adulto con citrato de sodio 0.129 Molar (3.8%) (0.3 ml) líquido tapón azul con silicón como lubricante volumen de drenado 2.7 -- 3 ml (+ 0.3 ml) el rango menor establece el volumen de drenado a la altura del altiplano mexicano y el rango mayor al nivel del mar. Etiquetados individualmente con número de lote y fecha de caducidad. Con tapón de seguridad. Estéril. Caja con 100 tubos.</v>
          </cell>
          <cell r="U3868">
            <v>469252</v>
          </cell>
          <cell r="V3868">
            <v>1173130</v>
          </cell>
        </row>
        <row r="3869">
          <cell r="A3869">
            <v>3866</v>
          </cell>
          <cell r="B3869" t="str">
            <v>080.909.6514</v>
          </cell>
          <cell r="E3869" t="str">
            <v>TUBOS. TUBO SISTEMA PARA TOMA Y RECOLECCION DE SANGRE, DE PLASTICO PET AL VACIO(13 X 75 MM) DESECHABLE PARA ADULTO SIN ANTICOAGULANTE, TAPON ROJO CON SILICONCOMO LUBRICANTE Y ACTIVADOR DE COAGULACION, VOLUMEN DE DRENADO 4 ML (+ 0.3 ML).ETIQUETADOS INDIVIDUALMENTE CON NUMERO DE LOTE Y FECHA DE CADUCIDAD. CON TAPONDE SEGURIDAD. ESTERIL. CAJA CON 100 TUBOS.</v>
          </cell>
          <cell r="U3869">
            <v>11364</v>
          </cell>
          <cell r="V3869">
            <v>28410</v>
          </cell>
        </row>
        <row r="3870">
          <cell r="A3870">
            <v>3867</v>
          </cell>
          <cell r="B3870" t="str">
            <v>080.909.6522</v>
          </cell>
          <cell r="E3870" t="str">
            <v>Tubos Tubo sistema para toma y recolección de sangre de plástico PET al vacío (13 x 75 mm) desechable para adulto con citrato de sodio 0.129 Molar (3.8%) (0.3 ml) líquido tapón azul con silicón como lubricante volumen de drenado 2.7 -- 3 ml (+ 0.3 ml) el rango menor establece el volumen de drenado a la altura del altiplano mexicano y el rango mayor al nivel del mar. Etiquetados individualmente con número de lote y fecha de caducidad. Con tapón de seguridad. Estéril. Caja con 100 tubos.</v>
          </cell>
          <cell r="U3870">
            <v>10898</v>
          </cell>
          <cell r="V3870">
            <v>27243</v>
          </cell>
        </row>
        <row r="3871">
          <cell r="A3871">
            <v>3868</v>
          </cell>
          <cell r="B3871" t="str">
            <v>080.909.6530</v>
          </cell>
          <cell r="E3871" t="str">
            <v>Tubos. Tubo sistema para toma y recolección de sangre de plástico PET al vacío (13 x 100 mm) desechable para adulto sin anticoagulante tapón oro con silicón como lubricante volumen de drenado 5 ml (+0.3 ml) recubrimiento de partículas de sílice 0.07-020 mg por tubo gel separador inerte 1.0 g por tubo. Etiquetados individualmente con número de lote y fecha de caducidad. Con tapón de seguridad. Estéril. Caja con 100 tubos.</v>
          </cell>
          <cell r="U3871">
            <v>259950</v>
          </cell>
          <cell r="V3871">
            <v>649872</v>
          </cell>
        </row>
        <row r="3872">
          <cell r="A3872">
            <v>3869</v>
          </cell>
          <cell r="B3872" t="str">
            <v>080.909.6548</v>
          </cell>
          <cell r="E3872" t="str">
            <v>TUBOS. TUBO SISTEMA PARA TOMA Y RECOLECCION DE SANGRE, DE PLASTICO PET AL VACIO(13 X 100 MM) DESECHABLE PARA ADULTO CON HEPARINA DE LITIO COMO ANTICOAGULANTE(90 USP), APLICADO POR ASPERSION EN LA PARED DEL TUBO, TAPON VERDE CON SILICONCOMO LUBRICANTE, VOLUMEN DE DRENADO 6 ML (+0.3 ML). ETIQUETADOS INDIVIDUALMENTECON NUMERO DE LOTE Y FECHA DE CADUCIDAD. CON TAPON DE SEGURIDAD. ESTERIL. CAJACON 100 TUBOS.</v>
          </cell>
          <cell r="U3872">
            <v>1354</v>
          </cell>
          <cell r="V3872">
            <v>3383</v>
          </cell>
        </row>
        <row r="3873">
          <cell r="A3873">
            <v>3870</v>
          </cell>
          <cell r="B3873" t="str">
            <v>080.909.6555</v>
          </cell>
          <cell r="E3873" t="str">
            <v>TUBOS. TUBO SISTEMA PARA TOMA Y RECOLECCION DE SANGRE, DE PLASTICO PET AL VACIO(13 X 75 MM) DESECHABLE PARA ADULTO CON CITRATO DE SODIO 0.109 MOLAR (3.2%) (0.3ML) LIQUIDO, TAPON AZUL CON SILICON COMO LUBRICANTE, VOLUMEN DE DRENADO 2.7 - 3ML (+0.3 ML) EL RANGO MENOR ESTABLECE EL VOLUMEN DE DRENADO A LA ALTURA DELALTIPLANO MEXICANO Y EL RANGO MAYOR AL NIVEL DEL MAR. ETIQUETADOSINDIVIDUALMENTE CON NUMERO DE LOTE Y FECHA DE CADUCIDAD. CON TAPON DE SEGURIDAD.ESTERIL. CAJA CON 100 TUBOS.</v>
          </cell>
          <cell r="U3873">
            <v>160526</v>
          </cell>
          <cell r="V3873">
            <v>401314</v>
          </cell>
        </row>
        <row r="3874">
          <cell r="A3874">
            <v>3871</v>
          </cell>
          <cell r="B3874" t="str">
            <v>080.909.6563</v>
          </cell>
          <cell r="E3874" t="str">
            <v>TUBOS. TUBO SISTEMA PARA TOMA Y RECOLECCION DE SANGRE, DE PLASTICO PET AL VACIO(13 X 75 MM) DESECHABLE PARA ADULTO CON EDTA K2 (5.4 MG) APLICADO POR ASPERSIONEN LA PARED DEL TUBO, TAPON CAFE CLARO CON SILICON COMO LUBRICANTE, VOLUMEN DEDRENADO 2 ML (+0.3 ML). ETIQUETADOS INDIVIDUALMENTE CON NUMERO DE LOTE Y FECHADE CADUCIDAD. CON TAPON DE SEGURIDAD. ESTERIL. CAJA CON 100 TUBOS.</v>
          </cell>
          <cell r="U3874">
            <v>1080</v>
          </cell>
          <cell r="V3874">
            <v>2700</v>
          </cell>
        </row>
        <row r="3875">
          <cell r="A3875">
            <v>3872</v>
          </cell>
          <cell r="B3875" t="str">
            <v>080.909.6597</v>
          </cell>
          <cell r="E3875" t="str">
            <v>TUBOS. TUBO SISTEMA PARA TOMA Y RECOLECCION DE SANGRE, DE PLASTICO PET AL VACIO(13 X 100 MM) DESECHABLE PARA ADULTO CON EDTA K2 (9 MG) APLICADO POR ASPERSIONEN LA PARED DEL TUBO Y GEL SEPARADOR, TAPON BLANCO CON SILICON COMO LUBRICANTE,VOLUMEN DE DRENADO 5 ML (+0.3 ML). ETIQUETADOS INDIVIDUALMENTE CON NUMERO DELOTE Y FECHA DE CADUCIDAD. CON TAPON DE SEGURIDAD. ESTERIL. CAJA CON 100 TUBOS.</v>
          </cell>
          <cell r="U3875">
            <v>742</v>
          </cell>
          <cell r="V3875">
            <v>1852</v>
          </cell>
        </row>
        <row r="3876">
          <cell r="A3876">
            <v>3873</v>
          </cell>
          <cell r="B3876" t="str">
            <v>080.909.6613</v>
          </cell>
          <cell r="E3876" t="str">
            <v>TUBOS. TUBO DE ROSCA DE 20 X 150 MM PARA LA TOMA DE MUESTRA DE CULTIVO. PIEZA.</v>
          </cell>
          <cell r="U3876">
            <v>7318</v>
          </cell>
          <cell r="V3876">
            <v>18294</v>
          </cell>
        </row>
        <row r="3877">
          <cell r="A3877">
            <v>3874</v>
          </cell>
          <cell r="B3877" t="str">
            <v>080.909.6621</v>
          </cell>
          <cell r="E3877" t="str">
            <v>TUBOS. TUBO DE VIDRIO AL VACIO, CON TAPON AMARILLO. DIMENSIONES DE 13 X 100 MM,CONTIENE APROXIMADAMENTE 1 ML DE SOLUCION ACD. CAPACIDAD TOTAL DE 6 ML. ENVASECON 100 TUBOS.</v>
          </cell>
          <cell r="U3877">
            <v>492</v>
          </cell>
          <cell r="V3877">
            <v>1230</v>
          </cell>
        </row>
        <row r="3878">
          <cell r="A3878">
            <v>3875</v>
          </cell>
          <cell r="B3878" t="str">
            <v>080.909.6654</v>
          </cell>
          <cell r="E3878" t="str">
            <v>TUBOS. TUBO DE ENSAYE. DE VIDRIO BOROSILICATO DURO. SIN LABIO. DIMENSIONES DE 16X 150 MM. CON TAPON DE BAQUELITA. PIEZA.</v>
          </cell>
          <cell r="U3878">
            <v>1527</v>
          </cell>
          <cell r="V3878">
            <v>3816</v>
          </cell>
        </row>
        <row r="3879">
          <cell r="A3879">
            <v>3876</v>
          </cell>
          <cell r="B3879" t="str">
            <v>080.933.0012</v>
          </cell>
          <cell r="E3879" t="str">
            <v>VARILLAS. DE VIDRIO BLANDO, DE 91 CM DE LONGITUD Y DIAMETRO DE: 6.4 MM.</v>
          </cell>
          <cell r="U3879">
            <v>112</v>
          </cell>
          <cell r="V3879">
            <v>280</v>
          </cell>
        </row>
        <row r="3880">
          <cell r="A3880">
            <v>3877</v>
          </cell>
          <cell r="B3880" t="str">
            <v>080.951.0456</v>
          </cell>
          <cell r="E3880" t="str">
            <v>VASOS. DE COPLIN. CON TAPA DE CUERDA. DIMENSIONES: 110 X 16 MM. CINCO MUESCAS.</v>
          </cell>
          <cell r="U3880">
            <v>1020</v>
          </cell>
          <cell r="V3880">
            <v>2548</v>
          </cell>
        </row>
        <row r="3881">
          <cell r="A3881">
            <v>3878</v>
          </cell>
          <cell r="B3881" t="str">
            <v>080.951.0514</v>
          </cell>
          <cell r="E3881" t="str">
            <v>VASOS. DE PRECIPITADOS, DE POLIPROPILENO. CON GRADUACION PARA VOLUMENESAPROXIMADOS. EN CAPACIDADES DE: 600 ML.</v>
          </cell>
          <cell r="U3881">
            <v>163</v>
          </cell>
          <cell r="V3881">
            <v>404</v>
          </cell>
        </row>
        <row r="3882">
          <cell r="A3882">
            <v>3879</v>
          </cell>
          <cell r="B3882" t="str">
            <v>080.951.0613</v>
          </cell>
          <cell r="E3882" t="str">
            <v>VASOS. DE PRECIPITADOS, DE VIDRIO REFRACTARIO. CON GRADUACION PARA VOLUMENESAPROXIMADOS. EN CAPACIDADES DE: 250 ML.</v>
          </cell>
          <cell r="U3882">
            <v>1126</v>
          </cell>
          <cell r="V3882">
            <v>2813</v>
          </cell>
        </row>
        <row r="3883">
          <cell r="A3883">
            <v>3880</v>
          </cell>
          <cell r="B3883" t="str">
            <v>080.951.0639</v>
          </cell>
          <cell r="E3883" t="str">
            <v>VASOS. DE PRECIPITADOS, DE VIDRIO REFRACTARIO. CON GRADUACION PARA VOLUMENESAPROXIMADOS. EN CAPACIDADES DE: 500 ML.</v>
          </cell>
          <cell r="U3883">
            <v>550</v>
          </cell>
          <cell r="V3883">
            <v>1373</v>
          </cell>
        </row>
        <row r="3884">
          <cell r="A3884">
            <v>3881</v>
          </cell>
          <cell r="B3884" t="str">
            <v>080.980.0001</v>
          </cell>
          <cell r="E3884" t="str">
            <v>Prueba rápida inmunocromatográfica para la determinación cualitativa de anticuerpos lgM/lgG anti HIV-1 y HIV-2 simultáneamente en suero, sangre, plasma o sangre total humana.
Con lanceta retráctil con 3 niveles de punción, pipeta de toma y solución de corrimiento y sensibilidad igual o superior al 99% y especificidad igual o superior al 98% para VIH, de acuerdo con el certificado de evaluación diagnóstica del Instituto de Diagnóstico y Referencia Epidemiológica, o en su caso algún otro organismo internacional como la FDA, EMA o la Organización Mundial de la Salud.</v>
          </cell>
          <cell r="U3884">
            <v>723200</v>
          </cell>
          <cell r="V3884">
            <v>1808000</v>
          </cell>
        </row>
        <row r="3885">
          <cell r="A3885">
            <v>3882</v>
          </cell>
          <cell r="B3885" t="str">
            <v>080.980.0003</v>
          </cell>
          <cell r="E3885" t="str">
            <v>CUCHILLAS ALTO PERFIL, DESECHABLES CON ADAPTADOR PARA MICROTOMO. PARA CORTESHISTOLOGICOS EN PARAFINA. PAQUETE CON 100 PIEZAS.</v>
          </cell>
          <cell r="U3885">
            <v>1986</v>
          </cell>
          <cell r="V3885">
            <v>4963</v>
          </cell>
        </row>
        <row r="3886">
          <cell r="A3886">
            <v>3883</v>
          </cell>
          <cell r="B3886" t="str">
            <v>130.258.0434</v>
          </cell>
          <cell r="E3886" t="str">
            <v>Collarines tipo: Thomas. Blando para limitar la flexión dorsal y ventral de la columna cervical ajustable acojinado elaborado en hule espuma forrado en estoquinete cierre de velcro. Pediátrico. Pieza.</v>
          </cell>
          <cell r="U3886">
            <v>2</v>
          </cell>
          <cell r="V3886">
            <v>4</v>
          </cell>
        </row>
        <row r="3887">
          <cell r="A3887">
            <v>3884</v>
          </cell>
          <cell r="B3887" t="str">
            <v>130.258.0608</v>
          </cell>
          <cell r="E3887" t="str">
            <v>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Pediátrico. Pieza.</v>
          </cell>
          <cell r="U3887">
            <v>2</v>
          </cell>
          <cell r="V3887">
            <v>4</v>
          </cell>
        </row>
        <row r="3888">
          <cell r="A3888">
            <v>3885</v>
          </cell>
          <cell r="B3888" t="str">
            <v>130.258.0616</v>
          </cell>
          <cell r="E3888" t="str">
            <v>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Chico. Pieza.</v>
          </cell>
          <cell r="U3888">
            <v>18</v>
          </cell>
          <cell r="V3888">
            <v>42</v>
          </cell>
        </row>
        <row r="3889">
          <cell r="A3889">
            <v>3886</v>
          </cell>
          <cell r="B3889" t="str">
            <v>130.258.0624</v>
          </cell>
          <cell r="E3889" t="str">
            <v>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Mediano. Pieza.</v>
          </cell>
          <cell r="U3889">
            <v>11</v>
          </cell>
          <cell r="V3889">
            <v>25</v>
          </cell>
        </row>
        <row r="3890">
          <cell r="A3890">
            <v>3887</v>
          </cell>
          <cell r="B3890" t="str">
            <v>130.258.0632</v>
          </cell>
          <cell r="E3890" t="str">
            <v>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Grande. Pieza.</v>
          </cell>
          <cell r="U3890">
            <v>11</v>
          </cell>
          <cell r="V3890">
            <v>25</v>
          </cell>
        </row>
        <row r="3891">
          <cell r="A3891">
            <v>3888</v>
          </cell>
          <cell r="B3891" t="str">
            <v>130.258.0640</v>
          </cell>
          <cell r="E3891" t="str">
            <v>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Extragrande. Pieza.</v>
          </cell>
          <cell r="U3891">
            <v>2</v>
          </cell>
          <cell r="V3891">
            <v>4</v>
          </cell>
        </row>
        <row r="3892">
          <cell r="A3892">
            <v>3889</v>
          </cell>
          <cell r="B3892" t="str">
            <v>513.790.0014</v>
          </cell>
          <cell r="E3892" t="str">
            <v>RIÑÓN DE ACERO INOXIDABLE 500 ML DE CAPACIDAD.</v>
          </cell>
          <cell r="U3892">
            <v>160</v>
          </cell>
          <cell r="V3892">
            <v>396</v>
          </cell>
        </row>
        <row r="3893">
          <cell r="A3893">
            <v>3890</v>
          </cell>
          <cell r="B3893" t="str">
            <v>513.887.0059</v>
          </cell>
          <cell r="E3893" t="str">
            <v>Torundera con tapa de acero inoxidable 250 ml de capacidad.</v>
          </cell>
          <cell r="U3893">
            <v>8</v>
          </cell>
          <cell r="V3893">
            <v>16</v>
          </cell>
        </row>
        <row r="3894">
          <cell r="A3894">
            <v>3891</v>
          </cell>
          <cell r="B3894" t="str">
            <v>531.048.0297</v>
          </cell>
          <cell r="E3894" t="str">
            <v>Analizadores. Equipo portátil de determinación de lípidos. Equipo portátil para determinación cuantitativa de perfil de lípidos en sangre  total tipo maletín y/o portatil. Que determine cuantitativamente colesterol total lipoproteínas de alta y de baja densidad triglicéridos y/o glucosa y/o calcule el resto de parámetros así como el riesgo aterogénico. Procese 12 pruebas por hora por equipo mínimo. Puede o no contar con capacidad de conectarse a equipos de cómputo para almacenamiento de resultados o a equipo de impresión en papel. No requiera calibración. Tiempo de procesamiento de muestra de aproximadamente 5 minutos. Requiera únicamente una gota de sangre capilar de cada paciente analizado.</v>
          </cell>
          <cell r="U3894">
            <v>2555408</v>
          </cell>
          <cell r="V3894">
            <v>6388517</v>
          </cell>
        </row>
        <row r="3895">
          <cell r="A3895">
            <v>3892</v>
          </cell>
          <cell r="B3895" t="str">
            <v>531.095.0016</v>
          </cell>
          <cell r="E3895" t="str">
            <v>IMPLANTE COCLEAR. DISPOSITIVO DESTINADO PARA LA RESTAURACIÓN PARCIAL DE LA SENSACIÓN AUDITIVA A NIÑOS CON HIPOACUSIA NEUROSENSORIAL BILATERAL DE SEVERA A PROFUNDA. CONSTA DE UN RECEPTOR-ESTIMULADOR CONFORMADO POR UN CONJUNTO DE ELECTRODOS QUE SE INSERTAN QUIRÚRGICAMENTE EN LA CÓCLEA Y SE IMPLANTA EN EL CRÁNEO CERCA DEL PABELLÓN AURICULAR Y UN PROCESADOR DE SONIDO EXTERNO QUE CONVIERTE EL SONIDO EN SEÑALES ELÉCTRICAS QUE SE TRANSMITEN AL RECEPTOR ESTIMULADOR. PROCESADOR DIGITAL DE SONIDO EXTERNO: RESISTENTE A LA HUMEDAD CON MEMORIA PARA ALMACENAR MÍNIMO DE 3 MAPAS O PROGRAMAS ACTUALIZABLES HASTA LLEGAR A UN ÓPTIMO DEFINIDO POR EL AUDIÓLOGO CAPACIDAD DE CAMBIAR PROGRAMAS Y VOLÚMENES DE MANERA EXTERNA POR EL USUARIO ALARMAS AUDIBLES O VISUALES DE BATERÍA BAJA Y MAL FUNCIONAMIENTO DEL PROCESADOR GANCHO PEDIÁTRICO PARA RETROAURICULAR O ARNÉS O ESTUCHE O FIJADOR PARA CUERPO. JUEGO DE BATERÍAS NECESARIAS PARA LA OPERACIÓN DEL IMPLANTE: TRES TIPO RECARGABLE CON UN CARGADOR DE BATERÍAS CABLE Y FUENTE DE ALIMENTACIÓN; Y TRES TIPO DESHECHABLES CON UNA PORTABATERÍA EN CASO DE SER NECESARIO. BOBINA O ANTENA: CON IMÁN INTEGRADO Y CABLE CONECTOR PARA PROCESADOR. MICRÓFONO OMNIDIRECCIONAL O RANGO MÍNIMO DE 180 GRADOS. ENTRADA Y CABLE PARA DISPOSITIVOS FM. ESTIMULADOR RECEPTOR IMPLANTABLE DE TITANIO O CERÁMICA. ELECTRODOS INTRACOCLEARES DE 16 A 24 MÁS TIERRA: ELECTRODO MONOPOLARES O BIPOLARES O MULTIPOLAR ESTIMULACIÓN MONOPOLAR MULTICANAL A UNA TAZA DE ESTIMULACIÓN DE 32 000 PULSOS POR SEGUNDO O MAYOR PULSOS TRIFÁSICOS. IMÁN REMOVIBLE INTERNO EN EL CUERPO DEL IMPLANTE. MÉTODO DE ESTIMULACIÓN PULSÁTIL O CONTINUO. TRANSMISIÓN DE LA SEÑAL DIGITAL TRASCUTÁNEA O PERCUTÁNEA. TODOS LOS ELEMENTOS DEBEN SER REEMPLAZABLES Y COMPATIBLES ENTRE SÍ DE ACUERDO A MARCA Y MODELO. SOFTWARE: COMPATIBLE CON LOS MODELOS FUTUROS CAPAZ DE REALIZAR Y MODIFICAR MAPAS O PROGRAMAS MEDICIÓN DE REFLEJO ESTAPEDIAL TELEMETRÍA QUE VERIFIQUE EL FUNCIONAMIENTO INTERNO DEL IMPLANTE MEDICIÓN DE LA RESPUESTA DEL NERVIO AUDITIVO ANTE LA ESTIMULACIÓN. MANUAL DEL USUARIO IMPRESO Y ELECTRÓNICO. INTERFACE Y EQUIPO ESPECIAL DE PROGRAMACIÓN QUE PERMITA INTERACTUAR AL OPERADOR CON EL IMPLANTE DEL PACIENTE CANTIDAD DETERMINADA POR EL ÁREA REQUIRENTE. JUEGO DE INSTRUMENTAL QUIRÚRGICO ESPECÍFICO PARA EL IMPLANTE COCLEAR DE ACUERDO A MARCA Y MODELO. CANTIDAD DETERMINADA POR EL ÁREA REQUIRENTE.</v>
          </cell>
          <cell r="U3895">
            <v>344</v>
          </cell>
          <cell r="V3895">
            <v>860</v>
          </cell>
        </row>
        <row r="3896">
          <cell r="A3896">
            <v>3893</v>
          </cell>
          <cell r="B3896" t="str">
            <v>531.157.0690</v>
          </cell>
          <cell r="E3896" t="str">
            <v>Cámara para humidificador adulto. Cámara transparente para humidificador adulto para altos y bajos flujos de 420 ml de volumen comprimible y con conector para recargado de agua para mantener el circuito cerrado. Complianza de 0.6 ml/cm H2O y resistencia de flujo de 0.1 cm H2O. Esterilizable en autoclave pasteurización o con gas etileno.</v>
          </cell>
          <cell r="U3896">
            <v>362</v>
          </cell>
          <cell r="V3896">
            <v>902</v>
          </cell>
        </row>
        <row r="3897">
          <cell r="A3897">
            <v>3894</v>
          </cell>
          <cell r="B3897" t="str">
            <v>531.157.0708</v>
          </cell>
          <cell r="E3897" t="str">
            <v>Cámara para humidificador pediátrico-neonatal. Cámara transparente para humidificador pediátrico-neonatal de 130 ml de volumen comprimible y con conector para recargado de agua para mantener el circuito cerrado. Complianza de 0.3 ml/cm H2O y resistencia de flujo de 0.2 cm H2O. Esterilizable en autoclave pasteurización o con gas etileno.</v>
          </cell>
          <cell r="U3897">
            <v>8</v>
          </cell>
          <cell r="V3897">
            <v>20</v>
          </cell>
        </row>
        <row r="3898">
          <cell r="A3898">
            <v>3895</v>
          </cell>
          <cell r="B3898" t="str">
            <v>531.345.0347</v>
          </cell>
          <cell r="E3898" t="str">
            <v>Sensor para glucómetro. Tiene dos partes principales: un lector de mano y un sensor desechable que se lleva puesto en el cuerpo. El</v>
          </cell>
          <cell r="U3898">
            <v>96</v>
          </cell>
          <cell r="V3898">
            <v>240</v>
          </cell>
        </row>
        <row r="3899">
          <cell r="A3899">
            <v>3896</v>
          </cell>
          <cell r="B3899" t="str">
            <v>531.347.0030</v>
          </cell>
          <cell r="E3899" t="str">
            <v>ESFINTEROTOMOS. PARA VÍAS BILIARES. CON LAS SIGUIENTES CARACTERÍSTICAS SELECCIONABLES DE ACUERDO A MARCA MODELO Y NECESIDADES DE LAS UNIDADES MÉDICAS: CALIBRE LONGITUD ALAMBRE GUÍA Y ALAMBRE DE CORTE. PIEZA.</v>
          </cell>
          <cell r="U3899">
            <v>16</v>
          </cell>
          <cell r="V3899">
            <v>36</v>
          </cell>
        </row>
        <row r="3900">
          <cell r="A3900">
            <v>3897</v>
          </cell>
          <cell r="B3900" t="str">
            <v>531.784.0204</v>
          </cell>
          <cell r="E3900" t="str">
            <v>Reanimador de asistencia ventilatoria. Equipo para ayudar a restablecer la función de la ventilación por método no invasivo en pacientes neonatos pediátricos y adultos. Con las siguientes características seleccionables de acuerdo a las necesidades de las unidades médicas: Bolsa de doble cubierta o cubierta sencilla. Autoinflable. Desarmable y esterilizable. Válvula de no reinhalación de baja resistencia espiratoria. Reservorio de oxígeno con capacidad en ml. Conexión para oxígeno suplementario. Conectores para el paciente. Volumen de la bolsa. Resistencias inspiratoria y espiratoria máximas en agua/litro/segundo.</v>
          </cell>
          <cell r="U3900">
            <v>3126</v>
          </cell>
          <cell r="V3900">
            <v>7814</v>
          </cell>
        </row>
        <row r="3901">
          <cell r="A3901">
            <v>3898</v>
          </cell>
          <cell r="B3901" t="str">
            <v>533.342.1518</v>
          </cell>
          <cell r="E3901" t="str">
            <v>Analizadores. Equipo portátil para determinar hemoglobina glucosilada. Sistema semiautomatizado portátil para la medición de hemoglobina glucosilada fracción A 1c.</v>
          </cell>
          <cell r="U3901">
            <v>1741845</v>
          </cell>
          <cell r="V3901">
            <v>4354611</v>
          </cell>
        </row>
        <row r="3902">
          <cell r="A3902">
            <v>3899</v>
          </cell>
          <cell r="B3902" t="str">
            <v>537.703.1140</v>
          </cell>
          <cell r="E3902" t="str">
            <v>Pinza Para Material Diverso. Pinza Magill ramas anguladas longitud de 190 a 205 mm.</v>
          </cell>
          <cell r="U3902">
            <v>4</v>
          </cell>
          <cell r="V3902">
            <v>8</v>
          </cell>
        </row>
        <row r="3903">
          <cell r="A3903">
            <v>3900</v>
          </cell>
          <cell r="B3903" t="str">
            <v>537.836.9093</v>
          </cell>
          <cell r="E3903" t="str">
            <v>SIERRA GIGLI DE 6 HILOS METÁLICOS DE 300 MM DE LONGITUD.</v>
          </cell>
          <cell r="U3903">
            <v>89</v>
          </cell>
          <cell r="V3903">
            <v>221</v>
          </cell>
        </row>
        <row r="3904">
          <cell r="A3904" t="str">
            <v>.</v>
          </cell>
        </row>
      </sheetData>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54"/>
  <sheetViews>
    <sheetView zoomScale="160" zoomScaleNormal="160" workbookViewId="0">
      <selection activeCell="O37" sqref="O37"/>
    </sheetView>
  </sheetViews>
  <sheetFormatPr defaultRowHeight="15" x14ac:dyDescent="0.25"/>
  <cols>
    <col min="8" max="8" width="50.140625" customWidth="1"/>
    <col min="14" max="15" width="15.85546875" customWidth="1"/>
    <col min="16" max="16" width="18.7109375" customWidth="1"/>
  </cols>
  <sheetData>
    <row r="1" spans="1:16" ht="60" x14ac:dyDescent="0.25">
      <c r="A1" s="11" t="s">
        <v>92</v>
      </c>
      <c r="B1" s="11" t="s">
        <v>53</v>
      </c>
      <c r="C1" s="11" t="s">
        <v>54</v>
      </c>
      <c r="D1" s="12" t="s">
        <v>55</v>
      </c>
      <c r="E1" s="11" t="s">
        <v>56</v>
      </c>
      <c r="F1" s="11" t="s">
        <v>57</v>
      </c>
      <c r="G1" s="11" t="s">
        <v>58</v>
      </c>
      <c r="H1" s="11" t="s">
        <v>93</v>
      </c>
      <c r="I1" s="11" t="s">
        <v>94</v>
      </c>
      <c r="J1" s="11" t="s">
        <v>95</v>
      </c>
      <c r="K1" s="11" t="s">
        <v>96</v>
      </c>
      <c r="L1" s="11" t="s">
        <v>97</v>
      </c>
      <c r="M1" s="11" t="s">
        <v>98</v>
      </c>
      <c r="N1" s="11" t="s">
        <v>99</v>
      </c>
      <c r="O1" s="11" t="s">
        <v>454</v>
      </c>
      <c r="P1" s="11" t="s">
        <v>100</v>
      </c>
    </row>
    <row r="2" spans="1:16" ht="102" hidden="1" x14ac:dyDescent="0.25">
      <c r="A2" s="15">
        <v>1</v>
      </c>
      <c r="B2" s="15" t="s">
        <v>60</v>
      </c>
      <c r="C2" s="15" t="s">
        <v>61</v>
      </c>
      <c r="D2" s="16" t="s">
        <v>62</v>
      </c>
      <c r="E2" s="17" t="s">
        <v>63</v>
      </c>
      <c r="F2" s="17" t="s">
        <v>63</v>
      </c>
      <c r="G2" s="15" t="s">
        <v>64</v>
      </c>
      <c r="H2" s="15" t="s">
        <v>101</v>
      </c>
      <c r="I2" s="15" t="s">
        <v>59</v>
      </c>
      <c r="J2" s="15"/>
      <c r="K2" s="15" t="s">
        <v>102</v>
      </c>
      <c r="L2" s="18" t="s">
        <v>103</v>
      </c>
      <c r="M2" s="19" t="s">
        <v>104</v>
      </c>
      <c r="N2" s="20" t="s">
        <v>105</v>
      </c>
      <c r="O2" s="45"/>
      <c r="P2" s="21" t="s">
        <v>106</v>
      </c>
    </row>
    <row r="3" spans="1:16" ht="90" hidden="1" x14ac:dyDescent="0.25">
      <c r="A3" s="15">
        <v>2</v>
      </c>
      <c r="B3" s="15" t="s">
        <v>60</v>
      </c>
      <c r="C3" s="15" t="s">
        <v>61</v>
      </c>
      <c r="D3" s="16" t="s">
        <v>62</v>
      </c>
      <c r="E3" s="17" t="s">
        <v>107</v>
      </c>
      <c r="F3" s="17" t="s">
        <v>107</v>
      </c>
      <c r="G3" s="15" t="s">
        <v>108</v>
      </c>
      <c r="H3" s="15" t="s">
        <v>109</v>
      </c>
      <c r="I3" s="15" t="s">
        <v>110</v>
      </c>
      <c r="J3" s="15"/>
      <c r="K3" s="15"/>
      <c r="L3" s="18" t="s">
        <v>111</v>
      </c>
      <c r="M3" s="19" t="s">
        <v>104</v>
      </c>
      <c r="N3" s="20" t="s">
        <v>105</v>
      </c>
      <c r="O3" s="45"/>
      <c r="P3" s="22" t="s">
        <v>112</v>
      </c>
    </row>
    <row r="4" spans="1:16" ht="165.75" hidden="1" x14ac:dyDescent="0.25">
      <c r="A4" s="15">
        <v>3</v>
      </c>
      <c r="B4" s="15" t="s">
        <v>60</v>
      </c>
      <c r="C4" s="15" t="s">
        <v>61</v>
      </c>
      <c r="D4" s="16" t="s">
        <v>62</v>
      </c>
      <c r="E4" s="17" t="s">
        <v>113</v>
      </c>
      <c r="F4" s="17" t="s">
        <v>113</v>
      </c>
      <c r="G4" s="15" t="s">
        <v>114</v>
      </c>
      <c r="H4" s="15" t="s">
        <v>115</v>
      </c>
      <c r="I4" s="15" t="s">
        <v>116</v>
      </c>
      <c r="J4" s="15"/>
      <c r="K4" s="15" t="s">
        <v>117</v>
      </c>
      <c r="L4" s="18" t="s">
        <v>118</v>
      </c>
      <c r="M4" s="19" t="s">
        <v>104</v>
      </c>
      <c r="N4" s="20" t="s">
        <v>105</v>
      </c>
      <c r="O4" s="45"/>
      <c r="P4" s="22" t="s">
        <v>119</v>
      </c>
    </row>
    <row r="5" spans="1:16" ht="76.5" hidden="1" x14ac:dyDescent="0.25">
      <c r="A5" s="15">
        <v>4</v>
      </c>
      <c r="B5" s="15" t="s">
        <v>60</v>
      </c>
      <c r="C5" s="15" t="s">
        <v>61</v>
      </c>
      <c r="D5" s="16" t="s">
        <v>62</v>
      </c>
      <c r="E5" s="17" t="s">
        <v>120</v>
      </c>
      <c r="F5" s="17" t="s">
        <v>120</v>
      </c>
      <c r="G5" s="15" t="s">
        <v>121</v>
      </c>
      <c r="H5" s="15" t="s">
        <v>122</v>
      </c>
      <c r="I5" s="15" t="s">
        <v>123</v>
      </c>
      <c r="J5" s="15"/>
      <c r="K5" s="15" t="s">
        <v>124</v>
      </c>
      <c r="L5" s="18" t="s">
        <v>125</v>
      </c>
      <c r="M5" s="19" t="s">
        <v>104</v>
      </c>
      <c r="N5" s="20" t="s">
        <v>105</v>
      </c>
      <c r="O5" s="45"/>
      <c r="P5" s="22" t="s">
        <v>126</v>
      </c>
    </row>
    <row r="6" spans="1:16" ht="90" hidden="1" x14ac:dyDescent="0.25">
      <c r="A6" s="15">
        <v>5</v>
      </c>
      <c r="B6" s="15" t="s">
        <v>60</v>
      </c>
      <c r="C6" s="15" t="s">
        <v>61</v>
      </c>
      <c r="D6" s="16" t="s">
        <v>127</v>
      </c>
      <c r="E6" s="17" t="s">
        <v>128</v>
      </c>
      <c r="F6" s="17" t="s">
        <v>128</v>
      </c>
      <c r="G6" s="18"/>
      <c r="H6" s="15"/>
      <c r="I6" s="15" t="s">
        <v>129</v>
      </c>
      <c r="J6" s="15"/>
      <c r="K6" s="15"/>
      <c r="L6" s="18" t="s">
        <v>130</v>
      </c>
      <c r="M6" s="19" t="s">
        <v>104</v>
      </c>
      <c r="N6" s="20" t="s">
        <v>105</v>
      </c>
      <c r="O6" s="45"/>
      <c r="P6" s="22" t="s">
        <v>131</v>
      </c>
    </row>
    <row r="7" spans="1:16" ht="75" hidden="1" x14ac:dyDescent="0.25">
      <c r="A7" s="15">
        <v>6</v>
      </c>
      <c r="B7" s="15" t="s">
        <v>60</v>
      </c>
      <c r="C7" s="15" t="s">
        <v>61</v>
      </c>
      <c r="D7" s="16" t="s">
        <v>127</v>
      </c>
      <c r="E7" s="17" t="s">
        <v>132</v>
      </c>
      <c r="F7" s="17" t="s">
        <v>132</v>
      </c>
      <c r="G7" s="15" t="s">
        <v>133</v>
      </c>
      <c r="H7" s="15" t="s">
        <v>134</v>
      </c>
      <c r="I7" s="15" t="s">
        <v>135</v>
      </c>
      <c r="J7" s="15"/>
      <c r="K7" s="15" t="s">
        <v>136</v>
      </c>
      <c r="L7" s="18" t="s">
        <v>137</v>
      </c>
      <c r="M7" s="19" t="s">
        <v>104</v>
      </c>
      <c r="N7" s="20" t="s">
        <v>105</v>
      </c>
      <c r="O7" s="45"/>
      <c r="P7" s="22" t="s">
        <v>138</v>
      </c>
    </row>
    <row r="8" spans="1:16" ht="67.5" hidden="1" x14ac:dyDescent="0.25">
      <c r="A8" s="15">
        <v>7</v>
      </c>
      <c r="B8" s="15" t="s">
        <v>60</v>
      </c>
      <c r="C8" s="15" t="s">
        <v>61</v>
      </c>
      <c r="D8" s="16" t="s">
        <v>127</v>
      </c>
      <c r="E8" s="17" t="s">
        <v>139</v>
      </c>
      <c r="F8" s="17" t="s">
        <v>139</v>
      </c>
      <c r="G8" s="15"/>
      <c r="H8" s="15"/>
      <c r="I8" s="15" t="s">
        <v>140</v>
      </c>
      <c r="J8" s="15"/>
      <c r="K8" s="15" t="s">
        <v>141</v>
      </c>
      <c r="L8" s="18" t="s">
        <v>142</v>
      </c>
      <c r="M8" s="19" t="s">
        <v>104</v>
      </c>
      <c r="N8" s="20" t="s">
        <v>105</v>
      </c>
      <c r="O8" s="45"/>
      <c r="P8" s="22" t="s">
        <v>143</v>
      </c>
    </row>
    <row r="9" spans="1:16" ht="75" hidden="1" x14ac:dyDescent="0.25">
      <c r="A9" s="15">
        <v>8</v>
      </c>
      <c r="B9" s="15" t="s">
        <v>60</v>
      </c>
      <c r="C9" s="15" t="s">
        <v>61</v>
      </c>
      <c r="D9" s="16" t="s">
        <v>127</v>
      </c>
      <c r="E9" s="17" t="s">
        <v>144</v>
      </c>
      <c r="F9" s="23" t="s">
        <v>144</v>
      </c>
      <c r="G9" s="15"/>
      <c r="H9" s="15"/>
      <c r="I9" s="15" t="s">
        <v>145</v>
      </c>
      <c r="J9" s="15"/>
      <c r="K9" s="15"/>
      <c r="L9" s="18" t="s">
        <v>146</v>
      </c>
      <c r="M9" s="19" t="s">
        <v>104</v>
      </c>
      <c r="N9" s="20" t="s">
        <v>105</v>
      </c>
      <c r="O9" s="45"/>
      <c r="P9" s="22" t="s">
        <v>147</v>
      </c>
    </row>
    <row r="10" spans="1:16" ht="409.5" hidden="1" x14ac:dyDescent="0.25">
      <c r="A10" s="15">
        <v>11</v>
      </c>
      <c r="B10" s="15" t="s">
        <v>60</v>
      </c>
      <c r="C10" s="15" t="s">
        <v>61</v>
      </c>
      <c r="D10" s="16" t="s">
        <v>62</v>
      </c>
      <c r="E10" s="17" t="s">
        <v>75</v>
      </c>
      <c r="F10" s="23" t="s">
        <v>76</v>
      </c>
      <c r="G10" s="15" t="s">
        <v>77</v>
      </c>
      <c r="H10" s="15" t="s">
        <v>148</v>
      </c>
      <c r="I10" s="15" t="s">
        <v>74</v>
      </c>
      <c r="J10" s="15"/>
      <c r="K10" s="15"/>
      <c r="L10" s="18" t="s">
        <v>149</v>
      </c>
      <c r="M10" s="19" t="s">
        <v>104</v>
      </c>
      <c r="N10" s="20" t="s">
        <v>105</v>
      </c>
      <c r="O10" s="45"/>
      <c r="P10" s="22" t="s">
        <v>150</v>
      </c>
    </row>
    <row r="11" spans="1:16" ht="270" hidden="1" x14ac:dyDescent="0.25">
      <c r="A11" s="15">
        <v>13</v>
      </c>
      <c r="B11" s="15" t="s">
        <v>60</v>
      </c>
      <c r="C11" s="15" t="s">
        <v>61</v>
      </c>
      <c r="D11" s="16" t="s">
        <v>62</v>
      </c>
      <c r="E11" s="17" t="s">
        <v>151</v>
      </c>
      <c r="F11" s="17" t="s">
        <v>152</v>
      </c>
      <c r="G11" s="15"/>
      <c r="H11" s="15"/>
      <c r="I11" s="15" t="s">
        <v>153</v>
      </c>
      <c r="J11" s="15"/>
      <c r="K11" s="15"/>
      <c r="L11" s="18" t="s">
        <v>154</v>
      </c>
      <c r="M11" s="19" t="s">
        <v>104</v>
      </c>
      <c r="N11" s="20" t="s">
        <v>105</v>
      </c>
      <c r="O11" s="45"/>
      <c r="P11" s="22" t="s">
        <v>155</v>
      </c>
    </row>
    <row r="12" spans="1:16" ht="409.5" hidden="1" x14ac:dyDescent="0.25">
      <c r="A12" s="15">
        <v>14</v>
      </c>
      <c r="B12" s="15" t="s">
        <v>60</v>
      </c>
      <c r="C12" s="15" t="s">
        <v>61</v>
      </c>
      <c r="D12" s="16" t="s">
        <v>62</v>
      </c>
      <c r="E12" s="17" t="s">
        <v>156</v>
      </c>
      <c r="F12" s="17" t="s">
        <v>157</v>
      </c>
      <c r="G12" s="15" t="s">
        <v>158</v>
      </c>
      <c r="H12" s="15" t="s">
        <v>159</v>
      </c>
      <c r="I12" s="15" t="s">
        <v>160</v>
      </c>
      <c r="J12" s="15"/>
      <c r="K12" s="15" t="s">
        <v>161</v>
      </c>
      <c r="L12" s="18" t="s">
        <v>162</v>
      </c>
      <c r="M12" s="19" t="s">
        <v>104</v>
      </c>
      <c r="N12" s="20" t="s">
        <v>105</v>
      </c>
      <c r="O12" s="45"/>
      <c r="P12" s="22" t="s">
        <v>163</v>
      </c>
    </row>
    <row r="13" spans="1:16" ht="405" hidden="1" x14ac:dyDescent="0.25">
      <c r="A13" s="15">
        <v>15</v>
      </c>
      <c r="B13" s="15" t="s">
        <v>60</v>
      </c>
      <c r="C13" s="15" t="s">
        <v>61</v>
      </c>
      <c r="D13" s="16" t="s">
        <v>62</v>
      </c>
      <c r="E13" s="17" t="s">
        <v>164</v>
      </c>
      <c r="F13" s="17" t="s">
        <v>165</v>
      </c>
      <c r="G13" s="15" t="s">
        <v>166</v>
      </c>
      <c r="H13" s="15" t="s">
        <v>167</v>
      </c>
      <c r="I13" s="15" t="s">
        <v>168</v>
      </c>
      <c r="J13" s="15"/>
      <c r="K13" s="15"/>
      <c r="L13" s="18" t="s">
        <v>169</v>
      </c>
      <c r="M13" s="19" t="s">
        <v>104</v>
      </c>
      <c r="N13" s="20" t="s">
        <v>105</v>
      </c>
      <c r="O13" s="20"/>
      <c r="P13" s="24" t="s">
        <v>170</v>
      </c>
    </row>
    <row r="14" spans="1:16" ht="409.5" hidden="1" x14ac:dyDescent="0.25">
      <c r="A14" s="15">
        <v>19</v>
      </c>
      <c r="B14" s="15" t="s">
        <v>60</v>
      </c>
      <c r="C14" s="15" t="s">
        <v>61</v>
      </c>
      <c r="D14" s="16" t="s">
        <v>62</v>
      </c>
      <c r="E14" s="17" t="s">
        <v>171</v>
      </c>
      <c r="F14" s="17" t="s">
        <v>172</v>
      </c>
      <c r="G14" s="15" t="s">
        <v>173</v>
      </c>
      <c r="H14" s="15" t="s">
        <v>174</v>
      </c>
      <c r="I14" s="15" t="s">
        <v>175</v>
      </c>
      <c r="J14" s="15"/>
      <c r="K14" s="15"/>
      <c r="L14" s="18" t="s">
        <v>176</v>
      </c>
      <c r="M14" s="19" t="s">
        <v>104</v>
      </c>
      <c r="N14" s="20" t="s">
        <v>105</v>
      </c>
      <c r="O14" s="20"/>
      <c r="P14" s="18" t="s">
        <v>177</v>
      </c>
    </row>
    <row r="15" spans="1:16" ht="303.75" hidden="1" x14ac:dyDescent="0.25">
      <c r="A15" s="15">
        <v>20</v>
      </c>
      <c r="B15" s="15" t="s">
        <v>60</v>
      </c>
      <c r="C15" s="15" t="s">
        <v>61</v>
      </c>
      <c r="D15" s="16" t="s">
        <v>62</v>
      </c>
      <c r="E15" s="17" t="s">
        <v>178</v>
      </c>
      <c r="F15" s="17" t="s">
        <v>179</v>
      </c>
      <c r="G15" s="15" t="s">
        <v>180</v>
      </c>
      <c r="H15" s="15" t="s">
        <v>181</v>
      </c>
      <c r="I15" s="15" t="s">
        <v>182</v>
      </c>
      <c r="J15" s="15"/>
      <c r="K15" s="15"/>
      <c r="L15" s="18" t="s">
        <v>183</v>
      </c>
      <c r="M15" s="19" t="s">
        <v>104</v>
      </c>
      <c r="N15" s="20" t="s">
        <v>105</v>
      </c>
      <c r="O15" s="20"/>
      <c r="P15" s="18" t="s">
        <v>184</v>
      </c>
    </row>
    <row r="16" spans="1:16" ht="337.5" hidden="1" x14ac:dyDescent="0.25">
      <c r="A16" s="15">
        <v>21</v>
      </c>
      <c r="B16" s="15" t="s">
        <v>60</v>
      </c>
      <c r="C16" s="15" t="s">
        <v>61</v>
      </c>
      <c r="D16" s="16" t="s">
        <v>62</v>
      </c>
      <c r="E16" s="17" t="s">
        <v>185</v>
      </c>
      <c r="F16" s="17" t="s">
        <v>186</v>
      </c>
      <c r="G16" s="15" t="s">
        <v>187</v>
      </c>
      <c r="H16" s="15" t="s">
        <v>188</v>
      </c>
      <c r="I16" s="15" t="s">
        <v>189</v>
      </c>
      <c r="J16" s="15"/>
      <c r="K16" s="15"/>
      <c r="L16" s="18" t="s">
        <v>190</v>
      </c>
      <c r="M16" s="19" t="s">
        <v>104</v>
      </c>
      <c r="N16" s="20" t="s">
        <v>105</v>
      </c>
      <c r="O16" s="20"/>
      <c r="P16" s="18" t="s">
        <v>191</v>
      </c>
    </row>
    <row r="17" spans="1:16" ht="409.5" hidden="1" x14ac:dyDescent="0.25">
      <c r="A17" s="15">
        <v>22</v>
      </c>
      <c r="B17" s="15" t="s">
        <v>60</v>
      </c>
      <c r="C17" s="15" t="s">
        <v>61</v>
      </c>
      <c r="D17" s="16" t="s">
        <v>62</v>
      </c>
      <c r="E17" s="17" t="s">
        <v>192</v>
      </c>
      <c r="F17" s="17" t="s">
        <v>193</v>
      </c>
      <c r="G17" s="15" t="s">
        <v>194</v>
      </c>
      <c r="H17" s="15" t="s">
        <v>195</v>
      </c>
      <c r="I17" s="15" t="s">
        <v>196</v>
      </c>
      <c r="J17" s="15"/>
      <c r="K17" s="15"/>
      <c r="L17" s="18" t="s">
        <v>197</v>
      </c>
      <c r="M17" s="19" t="s">
        <v>104</v>
      </c>
      <c r="N17" s="20" t="s">
        <v>105</v>
      </c>
      <c r="O17" s="20"/>
      <c r="P17" s="18" t="s">
        <v>198</v>
      </c>
    </row>
    <row r="18" spans="1:16" ht="114.75" hidden="1" x14ac:dyDescent="0.25">
      <c r="A18" s="15">
        <v>24</v>
      </c>
      <c r="B18" s="15" t="s">
        <v>60</v>
      </c>
      <c r="C18" s="15" t="s">
        <v>61</v>
      </c>
      <c r="D18" s="16" t="s">
        <v>62</v>
      </c>
      <c r="E18" s="17" t="s">
        <v>199</v>
      </c>
      <c r="F18" s="17" t="s">
        <v>200</v>
      </c>
      <c r="G18" s="15" t="s">
        <v>201</v>
      </c>
      <c r="H18" s="15" t="s">
        <v>202</v>
      </c>
      <c r="I18" s="15" t="s">
        <v>203</v>
      </c>
      <c r="J18" s="15"/>
      <c r="K18" s="15" t="s">
        <v>204</v>
      </c>
      <c r="L18" s="18" t="s">
        <v>205</v>
      </c>
      <c r="M18" s="19" t="s">
        <v>104</v>
      </c>
      <c r="N18" s="20" t="s">
        <v>105</v>
      </c>
      <c r="O18" s="20"/>
      <c r="P18" s="18" t="s">
        <v>206</v>
      </c>
    </row>
    <row r="19" spans="1:16" ht="112.5" hidden="1" x14ac:dyDescent="0.25">
      <c r="A19" s="15">
        <v>25</v>
      </c>
      <c r="B19" s="15" t="s">
        <v>60</v>
      </c>
      <c r="C19" s="15" t="s">
        <v>61</v>
      </c>
      <c r="D19" s="16" t="s">
        <v>62</v>
      </c>
      <c r="E19" s="17" t="s">
        <v>207</v>
      </c>
      <c r="F19" s="17" t="s">
        <v>208</v>
      </c>
      <c r="G19" s="15" t="s">
        <v>209</v>
      </c>
      <c r="H19" s="15" t="s">
        <v>210</v>
      </c>
      <c r="I19" s="15" t="s">
        <v>211</v>
      </c>
      <c r="J19" s="15"/>
      <c r="K19" s="15"/>
      <c r="L19" s="18" t="s">
        <v>212</v>
      </c>
      <c r="M19" s="19" t="s">
        <v>104</v>
      </c>
      <c r="N19" s="20" t="s">
        <v>105</v>
      </c>
      <c r="O19" s="20"/>
      <c r="P19" s="18" t="s">
        <v>213</v>
      </c>
    </row>
    <row r="20" spans="1:16" ht="90" hidden="1" x14ac:dyDescent="0.25">
      <c r="A20" s="15">
        <v>26</v>
      </c>
      <c r="B20" s="15" t="s">
        <v>60</v>
      </c>
      <c r="C20" s="15" t="s">
        <v>61</v>
      </c>
      <c r="D20" s="16" t="s">
        <v>62</v>
      </c>
      <c r="E20" s="17" t="s">
        <v>214</v>
      </c>
      <c r="F20" s="17" t="s">
        <v>215</v>
      </c>
      <c r="G20" s="15" t="s">
        <v>216</v>
      </c>
      <c r="H20" s="15" t="s">
        <v>217</v>
      </c>
      <c r="I20" s="15" t="s">
        <v>218</v>
      </c>
      <c r="J20" s="15"/>
      <c r="K20" s="15"/>
      <c r="L20" s="18" t="s">
        <v>219</v>
      </c>
      <c r="M20" s="19" t="s">
        <v>104</v>
      </c>
      <c r="N20" s="20" t="s">
        <v>105</v>
      </c>
      <c r="O20" s="20"/>
      <c r="P20" s="18" t="s">
        <v>220</v>
      </c>
    </row>
    <row r="21" spans="1:16" ht="409.5" hidden="1" x14ac:dyDescent="0.25">
      <c r="A21" s="15">
        <v>27</v>
      </c>
      <c r="B21" s="15" t="s">
        <v>60</v>
      </c>
      <c r="C21" s="15" t="s">
        <v>61</v>
      </c>
      <c r="D21" s="16" t="s">
        <v>62</v>
      </c>
      <c r="E21" s="17" t="s">
        <v>221</v>
      </c>
      <c r="F21" s="17" t="s">
        <v>222</v>
      </c>
      <c r="G21" s="15" t="s">
        <v>223</v>
      </c>
      <c r="H21" s="15" t="s">
        <v>224</v>
      </c>
      <c r="I21" s="15" t="s">
        <v>225</v>
      </c>
      <c r="J21" s="15"/>
      <c r="K21" s="15"/>
      <c r="L21" s="18" t="s">
        <v>226</v>
      </c>
      <c r="M21" s="19" t="s">
        <v>104</v>
      </c>
      <c r="N21" s="20" t="s">
        <v>105</v>
      </c>
      <c r="O21" s="20"/>
      <c r="P21" s="18" t="s">
        <v>227</v>
      </c>
    </row>
    <row r="22" spans="1:16" ht="75" hidden="1" x14ac:dyDescent="0.25">
      <c r="A22" s="15">
        <v>28</v>
      </c>
      <c r="B22" s="15" t="s">
        <v>60</v>
      </c>
      <c r="C22" s="15" t="s">
        <v>61</v>
      </c>
      <c r="D22" s="16" t="s">
        <v>62</v>
      </c>
      <c r="E22" s="17" t="s">
        <v>228</v>
      </c>
      <c r="F22" s="17" t="s">
        <v>229</v>
      </c>
      <c r="G22" s="15" t="s">
        <v>230</v>
      </c>
      <c r="H22" s="15" t="s">
        <v>231</v>
      </c>
      <c r="I22" s="15" t="s">
        <v>232</v>
      </c>
      <c r="J22" s="15"/>
      <c r="K22" s="15"/>
      <c r="L22" s="18" t="s">
        <v>233</v>
      </c>
      <c r="M22" s="19" t="s">
        <v>104</v>
      </c>
      <c r="N22" s="20" t="s">
        <v>105</v>
      </c>
      <c r="O22" s="20"/>
      <c r="P22" s="18" t="s">
        <v>234</v>
      </c>
    </row>
    <row r="23" spans="1:16" ht="409.5" hidden="1" x14ac:dyDescent="0.25">
      <c r="A23" s="15">
        <v>29</v>
      </c>
      <c r="B23" s="15" t="s">
        <v>60</v>
      </c>
      <c r="C23" s="15" t="s">
        <v>61</v>
      </c>
      <c r="D23" s="16" t="s">
        <v>62</v>
      </c>
      <c r="E23" s="17" t="s">
        <v>235</v>
      </c>
      <c r="F23" s="17" t="s">
        <v>236</v>
      </c>
      <c r="G23" s="15" t="s">
        <v>237</v>
      </c>
      <c r="H23" s="15" t="s">
        <v>238</v>
      </c>
      <c r="I23" s="15" t="s">
        <v>239</v>
      </c>
      <c r="J23" s="15"/>
      <c r="K23" s="15" t="s">
        <v>240</v>
      </c>
      <c r="L23" s="18" t="s">
        <v>241</v>
      </c>
      <c r="M23" s="19" t="s">
        <v>104</v>
      </c>
      <c r="N23" s="20" t="s">
        <v>105</v>
      </c>
      <c r="O23" s="20"/>
      <c r="P23" s="18" t="s">
        <v>242</v>
      </c>
    </row>
    <row r="24" spans="1:16" ht="63.75" hidden="1" x14ac:dyDescent="0.25">
      <c r="A24" s="15">
        <v>30</v>
      </c>
      <c r="B24" s="15" t="s">
        <v>60</v>
      </c>
      <c r="C24" s="15" t="s">
        <v>61</v>
      </c>
      <c r="D24" s="16" t="s">
        <v>62</v>
      </c>
      <c r="E24" s="17" t="s">
        <v>243</v>
      </c>
      <c r="F24" s="17" t="s">
        <v>244</v>
      </c>
      <c r="G24" s="15" t="s">
        <v>245</v>
      </c>
      <c r="H24" s="15" t="s">
        <v>246</v>
      </c>
      <c r="I24" s="15" t="s">
        <v>247</v>
      </c>
      <c r="J24" s="15"/>
      <c r="K24" s="15"/>
      <c r="L24" s="18" t="s">
        <v>248</v>
      </c>
      <c r="M24" s="19" t="s">
        <v>104</v>
      </c>
      <c r="N24" s="20" t="s">
        <v>105</v>
      </c>
      <c r="O24" s="20"/>
      <c r="P24" s="18" t="s">
        <v>249</v>
      </c>
    </row>
    <row r="25" spans="1:16" ht="135" hidden="1" x14ac:dyDescent="0.25">
      <c r="A25" s="15">
        <v>31</v>
      </c>
      <c r="B25" s="15" t="s">
        <v>60</v>
      </c>
      <c r="C25" s="15" t="s">
        <v>61</v>
      </c>
      <c r="D25" s="16" t="s">
        <v>62</v>
      </c>
      <c r="E25" s="17" t="s">
        <v>250</v>
      </c>
      <c r="F25" s="17" t="s">
        <v>251</v>
      </c>
      <c r="G25" s="15" t="s">
        <v>252</v>
      </c>
      <c r="H25" s="15" t="s">
        <v>253</v>
      </c>
      <c r="I25" s="15" t="s">
        <v>254</v>
      </c>
      <c r="J25" s="15"/>
      <c r="K25" s="15"/>
      <c r="L25" s="18" t="s">
        <v>255</v>
      </c>
      <c r="M25" s="19" t="s">
        <v>104</v>
      </c>
      <c r="N25" s="20" t="s">
        <v>105</v>
      </c>
      <c r="O25" s="20"/>
      <c r="P25" s="18" t="s">
        <v>256</v>
      </c>
    </row>
    <row r="26" spans="1:16" ht="213.75" hidden="1" x14ac:dyDescent="0.25">
      <c r="A26" s="15">
        <v>33</v>
      </c>
      <c r="B26" s="15" t="s">
        <v>60</v>
      </c>
      <c r="C26" s="15" t="s">
        <v>61</v>
      </c>
      <c r="D26" s="16" t="s">
        <v>62</v>
      </c>
      <c r="E26" s="17" t="s">
        <v>257</v>
      </c>
      <c r="F26" s="17" t="s">
        <v>258</v>
      </c>
      <c r="G26" s="15" t="s">
        <v>259</v>
      </c>
      <c r="H26" s="15" t="s">
        <v>260</v>
      </c>
      <c r="I26" s="15" t="s">
        <v>261</v>
      </c>
      <c r="J26" s="15"/>
      <c r="K26" s="15"/>
      <c r="L26" s="18" t="s">
        <v>262</v>
      </c>
      <c r="M26" s="19" t="s">
        <v>104</v>
      </c>
      <c r="N26" s="20" t="s">
        <v>105</v>
      </c>
      <c r="O26" s="20"/>
      <c r="P26" s="18" t="s">
        <v>263</v>
      </c>
    </row>
    <row r="27" spans="1:16" ht="213.75" hidden="1" x14ac:dyDescent="0.25">
      <c r="A27" s="15">
        <v>34</v>
      </c>
      <c r="B27" s="15" t="s">
        <v>60</v>
      </c>
      <c r="C27" s="15" t="s">
        <v>61</v>
      </c>
      <c r="D27" s="16" t="s">
        <v>62</v>
      </c>
      <c r="E27" s="17" t="s">
        <v>264</v>
      </c>
      <c r="F27" s="17" t="s">
        <v>258</v>
      </c>
      <c r="G27" s="15" t="s">
        <v>265</v>
      </c>
      <c r="H27" s="15" t="s">
        <v>266</v>
      </c>
      <c r="I27" s="15" t="s">
        <v>267</v>
      </c>
      <c r="J27" s="15"/>
      <c r="K27" s="15"/>
      <c r="L27" s="18" t="s">
        <v>268</v>
      </c>
      <c r="M27" s="19" t="s">
        <v>104</v>
      </c>
      <c r="N27" s="20" t="s">
        <v>105</v>
      </c>
      <c r="O27" s="20"/>
      <c r="P27" s="18" t="s">
        <v>269</v>
      </c>
    </row>
    <row r="28" spans="1:16" ht="75" hidden="1" x14ac:dyDescent="0.25">
      <c r="A28" s="15">
        <v>35</v>
      </c>
      <c r="B28" s="15" t="s">
        <v>60</v>
      </c>
      <c r="C28" s="15" t="s">
        <v>61</v>
      </c>
      <c r="D28" s="16" t="s">
        <v>127</v>
      </c>
      <c r="E28" s="17" t="s">
        <v>270</v>
      </c>
      <c r="F28" s="25"/>
      <c r="G28" s="25"/>
      <c r="H28" s="25"/>
      <c r="I28" s="25"/>
      <c r="J28" s="25"/>
      <c r="K28" s="25"/>
      <c r="L28" s="26" t="s">
        <v>271</v>
      </c>
      <c r="M28" s="25"/>
      <c r="N28" s="25"/>
      <c r="O28" s="25"/>
      <c r="P28" s="18" t="s">
        <v>272</v>
      </c>
    </row>
    <row r="29" spans="1:16" ht="216.75" hidden="1" x14ac:dyDescent="0.25">
      <c r="A29" s="15">
        <v>36</v>
      </c>
      <c r="B29" s="15" t="s">
        <v>60</v>
      </c>
      <c r="C29" s="15" t="s">
        <v>273</v>
      </c>
      <c r="D29" s="16" t="s">
        <v>62</v>
      </c>
      <c r="E29" s="17" t="s">
        <v>274</v>
      </c>
      <c r="F29" s="17" t="s">
        <v>275</v>
      </c>
      <c r="G29" s="15" t="s">
        <v>276</v>
      </c>
      <c r="H29" s="15"/>
      <c r="I29" s="15" t="s">
        <v>277</v>
      </c>
      <c r="J29" s="15"/>
      <c r="K29" s="15"/>
      <c r="L29" s="27" t="s">
        <v>278</v>
      </c>
      <c r="M29" s="19" t="s">
        <v>104</v>
      </c>
      <c r="N29" s="27" t="s">
        <v>279</v>
      </c>
      <c r="O29" s="27"/>
      <c r="P29" s="18" t="s">
        <v>280</v>
      </c>
    </row>
    <row r="30" spans="1:16" ht="409.5" hidden="1" x14ac:dyDescent="0.25">
      <c r="A30" s="15">
        <v>37</v>
      </c>
      <c r="B30" s="15" t="s">
        <v>60</v>
      </c>
      <c r="C30" s="15" t="s">
        <v>273</v>
      </c>
      <c r="D30" s="16" t="s">
        <v>62</v>
      </c>
      <c r="E30" s="17" t="s">
        <v>281</v>
      </c>
      <c r="F30" s="17" t="s">
        <v>282</v>
      </c>
      <c r="G30" s="15" t="s">
        <v>283</v>
      </c>
      <c r="H30" s="15"/>
      <c r="I30" s="15" t="s">
        <v>284</v>
      </c>
      <c r="J30" s="15" t="s">
        <v>285</v>
      </c>
      <c r="K30" s="15" t="s">
        <v>286</v>
      </c>
      <c r="L30" s="27" t="s">
        <v>287</v>
      </c>
      <c r="M30" s="19" t="s">
        <v>104</v>
      </c>
      <c r="N30" s="27" t="s">
        <v>279</v>
      </c>
      <c r="O30" s="27"/>
      <c r="P30" s="18" t="s">
        <v>288</v>
      </c>
    </row>
    <row r="31" spans="1:16" ht="303.75" hidden="1" x14ac:dyDescent="0.25">
      <c r="A31" s="15">
        <v>38</v>
      </c>
      <c r="B31" s="15" t="s">
        <v>60</v>
      </c>
      <c r="C31" s="15" t="s">
        <v>289</v>
      </c>
      <c r="D31" s="16" t="s">
        <v>62</v>
      </c>
      <c r="E31" s="17" t="s">
        <v>290</v>
      </c>
      <c r="F31" s="17" t="s">
        <v>291</v>
      </c>
      <c r="G31" s="15" t="s">
        <v>292</v>
      </c>
      <c r="H31" s="15"/>
      <c r="I31" s="15" t="s">
        <v>293</v>
      </c>
      <c r="J31" s="15" t="s">
        <v>294</v>
      </c>
      <c r="K31" s="15" t="s">
        <v>295</v>
      </c>
      <c r="L31" s="18" t="s">
        <v>296</v>
      </c>
      <c r="M31" s="19" t="s">
        <v>104</v>
      </c>
      <c r="N31" s="20" t="s">
        <v>297</v>
      </c>
      <c r="O31" s="20"/>
      <c r="P31" s="18" t="s">
        <v>298</v>
      </c>
    </row>
    <row r="32" spans="1:16" ht="409.5" hidden="1" x14ac:dyDescent="0.25">
      <c r="A32" s="15">
        <v>39</v>
      </c>
      <c r="B32" s="15" t="s">
        <v>60</v>
      </c>
      <c r="C32" s="15" t="s">
        <v>289</v>
      </c>
      <c r="D32" s="16" t="s">
        <v>62</v>
      </c>
      <c r="E32" s="17" t="s">
        <v>299</v>
      </c>
      <c r="F32" s="17" t="s">
        <v>300</v>
      </c>
      <c r="G32" s="15" t="s">
        <v>301</v>
      </c>
      <c r="H32" s="15"/>
      <c r="I32" s="15" t="s">
        <v>302</v>
      </c>
      <c r="J32" s="15" t="s">
        <v>303</v>
      </c>
      <c r="K32" s="15" t="s">
        <v>141</v>
      </c>
      <c r="L32" s="18" t="s">
        <v>304</v>
      </c>
      <c r="M32" s="19" t="s">
        <v>104</v>
      </c>
      <c r="N32" s="20" t="s">
        <v>297</v>
      </c>
      <c r="O32" s="20"/>
      <c r="P32" s="18" t="s">
        <v>305</v>
      </c>
    </row>
    <row r="33" spans="1:16" ht="409.5" hidden="1" x14ac:dyDescent="0.25">
      <c r="A33" s="15">
        <v>40</v>
      </c>
      <c r="B33" s="15" t="s">
        <v>60</v>
      </c>
      <c r="C33" s="15" t="s">
        <v>289</v>
      </c>
      <c r="D33" s="16" t="s">
        <v>62</v>
      </c>
      <c r="E33" s="17" t="s">
        <v>306</v>
      </c>
      <c r="F33" s="17" t="s">
        <v>307</v>
      </c>
      <c r="G33" s="15" t="s">
        <v>308</v>
      </c>
      <c r="H33" s="15"/>
      <c r="I33" s="15" t="s">
        <v>309</v>
      </c>
      <c r="J33" s="15" t="s">
        <v>310</v>
      </c>
      <c r="K33" s="15" t="s">
        <v>311</v>
      </c>
      <c r="L33" s="18" t="s">
        <v>312</v>
      </c>
      <c r="M33" s="19" t="s">
        <v>104</v>
      </c>
      <c r="N33" s="20" t="s">
        <v>297</v>
      </c>
      <c r="O33" s="20"/>
      <c r="P33" s="18" t="s">
        <v>313</v>
      </c>
    </row>
    <row r="34" spans="1:16" ht="409.5" hidden="1" x14ac:dyDescent="0.25">
      <c r="A34" s="15">
        <v>41</v>
      </c>
      <c r="B34" s="15" t="s">
        <v>60</v>
      </c>
      <c r="C34" s="15" t="s">
        <v>289</v>
      </c>
      <c r="D34" s="16" t="s">
        <v>62</v>
      </c>
      <c r="E34" s="17" t="s">
        <v>314</v>
      </c>
      <c r="F34" s="17" t="s">
        <v>315</v>
      </c>
      <c r="G34" s="15" t="s">
        <v>316</v>
      </c>
      <c r="H34" s="15"/>
      <c r="I34" s="15" t="s">
        <v>317</v>
      </c>
      <c r="J34" s="15" t="s">
        <v>318</v>
      </c>
      <c r="K34" s="15" t="s">
        <v>319</v>
      </c>
      <c r="L34" s="18" t="s">
        <v>320</v>
      </c>
      <c r="M34" s="19" t="s">
        <v>104</v>
      </c>
      <c r="N34" s="20" t="s">
        <v>297</v>
      </c>
      <c r="O34" s="20"/>
      <c r="P34" s="18" t="s">
        <v>321</v>
      </c>
    </row>
    <row r="35" spans="1:16" ht="409.5" hidden="1" x14ac:dyDescent="0.25">
      <c r="A35" s="15">
        <v>42</v>
      </c>
      <c r="B35" s="15" t="s">
        <v>60</v>
      </c>
      <c r="C35" s="15" t="s">
        <v>289</v>
      </c>
      <c r="D35" s="16" t="s">
        <v>62</v>
      </c>
      <c r="E35" s="17" t="s">
        <v>322</v>
      </c>
      <c r="F35" s="17" t="s">
        <v>323</v>
      </c>
      <c r="G35" s="15" t="s">
        <v>324</v>
      </c>
      <c r="H35" s="15"/>
      <c r="I35" s="15" t="s">
        <v>325</v>
      </c>
      <c r="J35" s="15" t="s">
        <v>326</v>
      </c>
      <c r="K35" s="15" t="s">
        <v>327</v>
      </c>
      <c r="L35" s="18" t="s">
        <v>328</v>
      </c>
      <c r="M35" s="19" t="s">
        <v>104</v>
      </c>
      <c r="N35" s="20" t="s">
        <v>297</v>
      </c>
      <c r="O35" s="20"/>
      <c r="P35" s="18" t="s">
        <v>329</v>
      </c>
    </row>
    <row r="36" spans="1:16" ht="409.5" hidden="1" x14ac:dyDescent="0.25">
      <c r="A36" s="15">
        <v>43</v>
      </c>
      <c r="B36" s="15" t="s">
        <v>60</v>
      </c>
      <c r="C36" s="15" t="s">
        <v>289</v>
      </c>
      <c r="D36" s="16" t="s">
        <v>62</v>
      </c>
      <c r="E36" s="17" t="s">
        <v>330</v>
      </c>
      <c r="F36" s="17" t="s">
        <v>331</v>
      </c>
      <c r="G36" s="15"/>
      <c r="H36" s="15"/>
      <c r="I36" s="15" t="s">
        <v>332</v>
      </c>
      <c r="J36" s="15"/>
      <c r="K36" s="15"/>
      <c r="L36" s="18" t="s">
        <v>333</v>
      </c>
      <c r="M36" s="19" t="s">
        <v>104</v>
      </c>
      <c r="N36" s="20" t="s">
        <v>297</v>
      </c>
      <c r="O36" s="20"/>
      <c r="P36" s="25" t="s">
        <v>334</v>
      </c>
    </row>
    <row r="37" spans="1:16" ht="90" x14ac:dyDescent="0.25">
      <c r="A37" s="15">
        <v>44</v>
      </c>
      <c r="B37" s="15" t="s">
        <v>335</v>
      </c>
      <c r="C37" s="15" t="s">
        <v>289</v>
      </c>
      <c r="D37" s="16" t="s">
        <v>62</v>
      </c>
      <c r="E37" s="17" t="s">
        <v>336</v>
      </c>
      <c r="F37" s="14" t="s">
        <v>337</v>
      </c>
      <c r="G37" s="13" t="s">
        <v>338</v>
      </c>
      <c r="H37" s="15"/>
      <c r="I37" s="15" t="s">
        <v>339</v>
      </c>
      <c r="J37" s="15"/>
      <c r="K37" s="15"/>
      <c r="L37" s="18" t="s">
        <v>340</v>
      </c>
      <c r="M37" s="18" t="s">
        <v>341</v>
      </c>
      <c r="N37" s="20" t="s">
        <v>297</v>
      </c>
      <c r="O37" s="20"/>
      <c r="P37" s="25" t="s">
        <v>342</v>
      </c>
    </row>
    <row r="38" spans="1:16" ht="409.5" hidden="1" x14ac:dyDescent="0.25">
      <c r="A38" s="15">
        <v>45</v>
      </c>
      <c r="B38" s="15" t="s">
        <v>343</v>
      </c>
      <c r="C38" s="15" t="s">
        <v>273</v>
      </c>
      <c r="D38" s="16" t="s">
        <v>62</v>
      </c>
      <c r="E38" s="17" t="s">
        <v>344</v>
      </c>
      <c r="F38" s="17" t="s">
        <v>345</v>
      </c>
      <c r="G38" s="15"/>
      <c r="H38" s="15"/>
      <c r="I38" s="15" t="s">
        <v>346</v>
      </c>
      <c r="J38" s="15"/>
      <c r="K38" s="15"/>
      <c r="L38" s="20" t="s">
        <v>347</v>
      </c>
      <c r="M38" s="27" t="s">
        <v>348</v>
      </c>
      <c r="N38" s="27" t="s">
        <v>279</v>
      </c>
      <c r="O38" s="27"/>
      <c r="P38" s="25" t="s">
        <v>349</v>
      </c>
    </row>
    <row r="39" spans="1:16" ht="101.25" hidden="1" x14ac:dyDescent="0.25">
      <c r="A39" s="28">
        <v>45</v>
      </c>
      <c r="B39" s="28" t="s">
        <v>335</v>
      </c>
      <c r="C39" s="28" t="s">
        <v>61</v>
      </c>
      <c r="D39" s="29" t="s">
        <v>62</v>
      </c>
      <c r="E39" s="30" t="s">
        <v>350</v>
      </c>
      <c r="F39" s="31" t="s">
        <v>351</v>
      </c>
      <c r="G39" s="32" t="s">
        <v>352</v>
      </c>
      <c r="H39" s="33" t="s">
        <v>353</v>
      </c>
      <c r="I39" s="33" t="s">
        <v>354</v>
      </c>
      <c r="J39" s="33"/>
      <c r="K39" s="33"/>
      <c r="L39" s="22" t="s">
        <v>355</v>
      </c>
      <c r="M39" s="22" t="s">
        <v>341</v>
      </c>
      <c r="N39" s="34" t="s">
        <v>105</v>
      </c>
      <c r="O39" s="34"/>
      <c r="P39" s="25" t="s">
        <v>356</v>
      </c>
    </row>
    <row r="40" spans="1:16" ht="409.5" hidden="1" x14ac:dyDescent="0.25">
      <c r="A40" s="15">
        <v>46</v>
      </c>
      <c r="B40" s="15" t="s">
        <v>66</v>
      </c>
      <c r="C40" s="15" t="s">
        <v>61</v>
      </c>
      <c r="D40" s="16" t="s">
        <v>62</v>
      </c>
      <c r="E40" s="17" t="s">
        <v>67</v>
      </c>
      <c r="F40" s="23" t="s">
        <v>68</v>
      </c>
      <c r="G40" s="15" t="s">
        <v>69</v>
      </c>
      <c r="H40" s="15" t="s">
        <v>357</v>
      </c>
      <c r="I40" s="15" t="s">
        <v>65</v>
      </c>
      <c r="J40" s="15"/>
      <c r="K40" s="15"/>
      <c r="L40" s="18" t="s">
        <v>358</v>
      </c>
      <c r="M40" s="18" t="s">
        <v>359</v>
      </c>
      <c r="N40" s="20" t="s">
        <v>105</v>
      </c>
      <c r="O40" s="20"/>
      <c r="P40" s="25" t="s">
        <v>360</v>
      </c>
    </row>
    <row r="41" spans="1:16" ht="213.75" hidden="1" x14ac:dyDescent="0.25">
      <c r="A41" s="15">
        <v>47</v>
      </c>
      <c r="B41" s="15" t="s">
        <v>66</v>
      </c>
      <c r="C41" s="15" t="s">
        <v>61</v>
      </c>
      <c r="D41" s="16" t="s">
        <v>62</v>
      </c>
      <c r="E41" s="17" t="s">
        <v>71</v>
      </c>
      <c r="F41" s="23" t="s">
        <v>72</v>
      </c>
      <c r="G41" s="15" t="s">
        <v>73</v>
      </c>
      <c r="H41" s="15" t="s">
        <v>361</v>
      </c>
      <c r="I41" s="15" t="s">
        <v>70</v>
      </c>
      <c r="J41" s="15"/>
      <c r="K41" s="15"/>
      <c r="L41" s="18" t="s">
        <v>362</v>
      </c>
      <c r="M41" s="18" t="s">
        <v>359</v>
      </c>
      <c r="N41" s="20" t="s">
        <v>105</v>
      </c>
      <c r="O41" s="45"/>
    </row>
    <row r="42" spans="1:16" ht="213.75" hidden="1" x14ac:dyDescent="0.25">
      <c r="A42" s="15">
        <v>48</v>
      </c>
      <c r="B42" s="15" t="s">
        <v>66</v>
      </c>
      <c r="C42" s="15" t="s">
        <v>61</v>
      </c>
      <c r="D42" s="16" t="s">
        <v>62</v>
      </c>
      <c r="E42" s="17" t="s">
        <v>363</v>
      </c>
      <c r="F42" s="17" t="s">
        <v>364</v>
      </c>
      <c r="G42" s="15"/>
      <c r="H42" s="15" t="s">
        <v>365</v>
      </c>
      <c r="I42" s="15" t="s">
        <v>366</v>
      </c>
      <c r="J42" s="15"/>
      <c r="K42" s="15"/>
      <c r="L42" s="18" t="s">
        <v>367</v>
      </c>
      <c r="M42" s="18" t="s">
        <v>359</v>
      </c>
      <c r="N42" s="20" t="s">
        <v>105</v>
      </c>
      <c r="O42" s="45"/>
    </row>
    <row r="43" spans="1:16" ht="337.5" hidden="1" x14ac:dyDescent="0.25">
      <c r="A43" s="15">
        <v>49</v>
      </c>
      <c r="B43" s="15" t="s">
        <v>66</v>
      </c>
      <c r="C43" s="15" t="s">
        <v>61</v>
      </c>
      <c r="D43" s="16" t="s">
        <v>62</v>
      </c>
      <c r="E43" s="17" t="s">
        <v>368</v>
      </c>
      <c r="F43" s="17" t="s">
        <v>369</v>
      </c>
      <c r="G43" s="15" t="s">
        <v>370</v>
      </c>
      <c r="H43" s="15" t="s">
        <v>371</v>
      </c>
      <c r="I43" s="15" t="s">
        <v>372</v>
      </c>
      <c r="J43" s="15"/>
      <c r="K43" s="15"/>
      <c r="L43" s="18" t="s">
        <v>373</v>
      </c>
      <c r="M43" s="18" t="s">
        <v>359</v>
      </c>
      <c r="N43" s="20" t="s">
        <v>105</v>
      </c>
      <c r="O43" s="20"/>
      <c r="P43" s="25"/>
    </row>
    <row r="44" spans="1:16" ht="360" hidden="1" x14ac:dyDescent="0.25">
      <c r="A44" s="15">
        <v>50</v>
      </c>
      <c r="B44" s="15" t="s">
        <v>66</v>
      </c>
      <c r="C44" s="15" t="s">
        <v>61</v>
      </c>
      <c r="D44" s="16" t="s">
        <v>62</v>
      </c>
      <c r="E44" s="17" t="s">
        <v>374</v>
      </c>
      <c r="F44" s="17" t="s">
        <v>375</v>
      </c>
      <c r="G44" s="15" t="s">
        <v>376</v>
      </c>
      <c r="H44" s="15" t="s">
        <v>377</v>
      </c>
      <c r="I44" s="15" t="s">
        <v>378</v>
      </c>
      <c r="J44" s="15"/>
      <c r="K44" s="15"/>
      <c r="L44" s="18" t="s">
        <v>379</v>
      </c>
      <c r="M44" s="18" t="s">
        <v>359</v>
      </c>
      <c r="N44" s="20" t="s">
        <v>105</v>
      </c>
      <c r="O44" s="20"/>
      <c r="P44" s="25"/>
    </row>
    <row r="45" spans="1:16" ht="315" hidden="1" x14ac:dyDescent="0.25">
      <c r="A45" s="15">
        <v>51</v>
      </c>
      <c r="B45" s="15" t="s">
        <v>66</v>
      </c>
      <c r="C45" s="15" t="s">
        <v>61</v>
      </c>
      <c r="D45" s="16" t="s">
        <v>62</v>
      </c>
      <c r="E45" s="17" t="s">
        <v>380</v>
      </c>
      <c r="F45" s="17" t="s">
        <v>381</v>
      </c>
      <c r="G45" s="15" t="s">
        <v>382</v>
      </c>
      <c r="H45" s="15" t="s">
        <v>383</v>
      </c>
      <c r="I45" s="15" t="s">
        <v>384</v>
      </c>
      <c r="J45" s="15"/>
      <c r="K45" s="15"/>
      <c r="L45" s="18" t="s">
        <v>385</v>
      </c>
      <c r="M45" s="18" t="s">
        <v>359</v>
      </c>
      <c r="N45" s="20" t="s">
        <v>105</v>
      </c>
      <c r="O45" s="20"/>
      <c r="P45" s="25"/>
    </row>
    <row r="46" spans="1:16" ht="409.5" hidden="1" x14ac:dyDescent="0.25">
      <c r="A46" s="15">
        <v>52</v>
      </c>
      <c r="B46" s="15" t="s">
        <v>66</v>
      </c>
      <c r="C46" s="15" t="s">
        <v>61</v>
      </c>
      <c r="D46" s="16" t="s">
        <v>62</v>
      </c>
      <c r="E46" s="17" t="s">
        <v>386</v>
      </c>
      <c r="F46" s="17" t="s">
        <v>387</v>
      </c>
      <c r="G46" s="15" t="s">
        <v>388</v>
      </c>
      <c r="H46" s="15" t="s">
        <v>389</v>
      </c>
      <c r="I46" s="15" t="s">
        <v>390</v>
      </c>
      <c r="J46" s="15"/>
      <c r="K46" s="15"/>
      <c r="L46" s="18" t="s">
        <v>391</v>
      </c>
      <c r="M46" s="18" t="s">
        <v>359</v>
      </c>
      <c r="N46" s="20" t="s">
        <v>105</v>
      </c>
      <c r="O46" s="20"/>
      <c r="P46" s="25"/>
    </row>
    <row r="47" spans="1:16" ht="90" hidden="1" x14ac:dyDescent="0.25">
      <c r="A47" s="15">
        <v>53</v>
      </c>
      <c r="B47" s="15" t="s">
        <v>66</v>
      </c>
      <c r="C47" s="15" t="s">
        <v>289</v>
      </c>
      <c r="D47" s="16" t="s">
        <v>62</v>
      </c>
      <c r="E47" s="17" t="s">
        <v>392</v>
      </c>
      <c r="F47" s="14" t="s">
        <v>393</v>
      </c>
      <c r="G47" s="13" t="s">
        <v>394</v>
      </c>
      <c r="H47" s="15"/>
      <c r="I47" s="15" t="s">
        <v>395</v>
      </c>
      <c r="J47" s="15"/>
      <c r="K47" s="15"/>
      <c r="L47" s="18" t="s">
        <v>396</v>
      </c>
      <c r="M47" s="18" t="s">
        <v>341</v>
      </c>
      <c r="N47" s="20" t="s">
        <v>297</v>
      </c>
      <c r="O47" s="20"/>
      <c r="P47" s="25"/>
    </row>
    <row r="48" spans="1:16" ht="409.5" hidden="1" x14ac:dyDescent="0.25">
      <c r="A48" s="15">
        <v>54</v>
      </c>
      <c r="B48" s="15" t="s">
        <v>66</v>
      </c>
      <c r="C48" s="15" t="s">
        <v>289</v>
      </c>
      <c r="D48" s="16" t="s">
        <v>62</v>
      </c>
      <c r="E48" s="17" t="s">
        <v>397</v>
      </c>
      <c r="F48" s="17" t="s">
        <v>398</v>
      </c>
      <c r="G48" s="15"/>
      <c r="H48" s="15"/>
      <c r="I48" s="15" t="s">
        <v>399</v>
      </c>
      <c r="J48" s="15"/>
      <c r="K48" s="15"/>
      <c r="L48" s="18" t="s">
        <v>400</v>
      </c>
      <c r="M48" s="18" t="s">
        <v>359</v>
      </c>
      <c r="N48" s="20" t="s">
        <v>297</v>
      </c>
      <c r="O48" s="20"/>
      <c r="P48" s="25"/>
    </row>
    <row r="49" spans="1:16" ht="90" hidden="1" x14ac:dyDescent="0.25">
      <c r="A49" s="15">
        <v>55</v>
      </c>
      <c r="B49" s="15" t="s">
        <v>401</v>
      </c>
      <c r="C49" s="15" t="s">
        <v>289</v>
      </c>
      <c r="D49" s="16" t="s">
        <v>62</v>
      </c>
      <c r="E49" s="17" t="s">
        <v>402</v>
      </c>
      <c r="F49" s="14" t="s">
        <v>403</v>
      </c>
      <c r="G49" s="13" t="s">
        <v>404</v>
      </c>
      <c r="H49" s="15"/>
      <c r="I49" s="15" t="s">
        <v>405</v>
      </c>
      <c r="J49" s="15"/>
      <c r="K49" s="15"/>
      <c r="L49" s="18" t="s">
        <v>406</v>
      </c>
      <c r="M49" s="18" t="s">
        <v>341</v>
      </c>
      <c r="N49" s="20" t="s">
        <v>297</v>
      </c>
      <c r="O49" s="45"/>
    </row>
    <row r="50" spans="1:16" ht="36" hidden="1" x14ac:dyDescent="0.25">
      <c r="A50" s="15"/>
      <c r="B50" s="15" t="s">
        <v>60</v>
      </c>
      <c r="C50" s="15" t="s">
        <v>61</v>
      </c>
      <c r="D50" s="16" t="s">
        <v>62</v>
      </c>
      <c r="E50" s="35" t="s">
        <v>407</v>
      </c>
      <c r="F50" s="35" t="s">
        <v>407</v>
      </c>
      <c r="G50" s="15"/>
      <c r="H50" s="15"/>
      <c r="I50" s="15" t="s">
        <v>408</v>
      </c>
      <c r="J50" s="15"/>
      <c r="K50" s="15"/>
      <c r="L50" s="18"/>
      <c r="M50" s="19"/>
      <c r="N50" s="20"/>
      <c r="O50" s="45"/>
    </row>
    <row r="51" spans="1:16" hidden="1" x14ac:dyDescent="0.25">
      <c r="A51" s="15"/>
      <c r="B51" s="15"/>
      <c r="C51" s="15" t="s">
        <v>289</v>
      </c>
      <c r="D51" s="16"/>
      <c r="E51" s="17"/>
      <c r="F51" s="17"/>
      <c r="G51" s="15" t="s">
        <v>409</v>
      </c>
      <c r="H51" s="15"/>
      <c r="I51" s="15" t="s">
        <v>410</v>
      </c>
      <c r="J51" s="15"/>
      <c r="K51" s="15"/>
      <c r="L51" s="18"/>
      <c r="M51" s="18"/>
      <c r="N51" s="20"/>
      <c r="O51" s="20"/>
      <c r="P51" s="18"/>
    </row>
    <row r="52" spans="1:16" hidden="1" x14ac:dyDescent="0.25">
      <c r="A52" s="15"/>
      <c r="B52" s="15"/>
      <c r="C52" s="15" t="s">
        <v>289</v>
      </c>
      <c r="D52" s="16"/>
      <c r="E52" s="17"/>
      <c r="F52" s="17"/>
      <c r="G52" s="15" t="s">
        <v>411</v>
      </c>
      <c r="H52" s="15"/>
      <c r="I52" s="15" t="s">
        <v>410</v>
      </c>
      <c r="J52" s="15"/>
      <c r="K52" s="15"/>
      <c r="L52" s="18"/>
      <c r="M52" s="18"/>
      <c r="N52" s="20"/>
      <c r="O52" s="20"/>
      <c r="P52" s="18"/>
    </row>
    <row r="53" spans="1:16" ht="178.5" hidden="1" x14ac:dyDescent="0.25">
      <c r="A53" s="15"/>
      <c r="B53" s="15"/>
      <c r="C53" s="15" t="s">
        <v>289</v>
      </c>
      <c r="D53" s="16"/>
      <c r="E53" s="17"/>
      <c r="F53" s="17"/>
      <c r="G53" s="15" t="s">
        <v>412</v>
      </c>
      <c r="H53" s="15"/>
      <c r="I53" s="15" t="s">
        <v>410</v>
      </c>
      <c r="J53" s="15"/>
      <c r="K53" s="15"/>
      <c r="L53" s="18"/>
      <c r="M53" s="18"/>
      <c r="N53" s="20"/>
      <c r="O53" s="20"/>
      <c r="P53" s="18"/>
    </row>
    <row r="54" spans="1:16" ht="102" hidden="1" x14ac:dyDescent="0.25">
      <c r="A54" s="15"/>
      <c r="B54" s="15"/>
      <c r="C54" s="15"/>
      <c r="D54" s="16"/>
      <c r="E54" s="17"/>
      <c r="F54" s="17"/>
      <c r="G54" s="15"/>
      <c r="H54" s="15"/>
      <c r="I54" s="15" t="s">
        <v>410</v>
      </c>
      <c r="J54" s="15" t="s">
        <v>413</v>
      </c>
      <c r="K54" s="15"/>
      <c r="L54" s="18"/>
      <c r="M54" s="18"/>
      <c r="N54" s="20"/>
      <c r="O54" s="45"/>
    </row>
  </sheetData>
  <autoFilter ref="A1:P54" xr:uid="{00000000-0001-0000-0000-000000000000}">
    <filterColumn colId="11">
      <filters>
        <filter val="T03 Registros.pdf"/>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979E-B32F-4EF0-94EB-CCF7941CB1BB}">
  <dimension ref="A1"/>
  <sheetViews>
    <sheetView tabSelected="1" workbookViewId="0">
      <selection activeCell="C18" sqref="C18"/>
    </sheetView>
  </sheetViews>
  <sheetFormatPr defaultRowHeight="15" x14ac:dyDescent="0.25"/>
  <cols>
    <col min="1" max="1" width="18.1406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3963-DC08-40E7-8380-B620CF90126C}">
  <dimension ref="A1:D9"/>
  <sheetViews>
    <sheetView workbookViewId="0">
      <selection activeCell="B2" sqref="B2"/>
    </sheetView>
  </sheetViews>
  <sheetFormatPr defaultRowHeight="15" x14ac:dyDescent="0.25"/>
  <cols>
    <col min="1" max="1" width="66.42578125" bestFit="1" customWidth="1"/>
    <col min="2" max="2" width="59.140625" bestFit="1" customWidth="1"/>
    <col min="3" max="3" width="64" bestFit="1" customWidth="1"/>
    <col min="4" max="4" width="63.85546875" bestFit="1" customWidth="1"/>
  </cols>
  <sheetData>
    <row r="1" spans="1:4" ht="75" x14ac:dyDescent="0.25">
      <c r="A1" s="36" t="s">
        <v>340</v>
      </c>
      <c r="B1" s="37" t="s">
        <v>406</v>
      </c>
      <c r="C1" s="36" t="s">
        <v>396</v>
      </c>
      <c r="D1" s="37" t="s">
        <v>355</v>
      </c>
    </row>
    <row r="2" spans="1:4" x14ac:dyDescent="0.25">
      <c r="A2" t="s">
        <v>414</v>
      </c>
      <c r="B2" t="s">
        <v>415</v>
      </c>
      <c r="C2" t="s">
        <v>416</v>
      </c>
      <c r="D2" t="s">
        <v>417</v>
      </c>
    </row>
    <row r="3" spans="1:4" x14ac:dyDescent="0.25">
      <c r="A3" t="s">
        <v>418</v>
      </c>
      <c r="D3" t="s">
        <v>419</v>
      </c>
    </row>
    <row r="4" spans="1:4" x14ac:dyDescent="0.25">
      <c r="A4" t="s">
        <v>420</v>
      </c>
    </row>
    <row r="5" spans="1:4" x14ac:dyDescent="0.25">
      <c r="A5" t="s">
        <v>421</v>
      </c>
    </row>
    <row r="6" spans="1:4" x14ac:dyDescent="0.25">
      <c r="A6" t="s">
        <v>422</v>
      </c>
    </row>
    <row r="7" spans="1:4" x14ac:dyDescent="0.25">
      <c r="A7" t="s">
        <v>423</v>
      </c>
    </row>
    <row r="8" spans="1:4" x14ac:dyDescent="0.25">
      <c r="A8" t="s">
        <v>424</v>
      </c>
    </row>
    <row r="9" spans="1:4" x14ac:dyDescent="0.25">
      <c r="A9" t="s">
        <v>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9B58-D65C-4E45-BA15-A036BE19F2A4}">
  <dimension ref="A1:AC2"/>
  <sheetViews>
    <sheetView zoomScale="55" zoomScaleNormal="55" workbookViewId="0">
      <selection activeCell="O2" sqref="O2"/>
    </sheetView>
  </sheetViews>
  <sheetFormatPr defaultRowHeight="15" x14ac:dyDescent="0.25"/>
  <cols>
    <col min="2" max="2" width="15.42578125" bestFit="1" customWidth="1"/>
    <col min="13" max="14" width="10.85546875" bestFit="1" customWidth="1"/>
  </cols>
  <sheetData>
    <row r="1" spans="1:29" ht="90" x14ac:dyDescent="0.25">
      <c r="A1" s="38" t="s">
        <v>426</v>
      </c>
      <c r="B1" s="39" t="s">
        <v>427</v>
      </c>
      <c r="C1" s="38" t="s">
        <v>78</v>
      </c>
      <c r="D1" s="38" t="s">
        <v>428</v>
      </c>
      <c r="E1" s="38" t="s">
        <v>79</v>
      </c>
      <c r="F1" s="38" t="s">
        <v>429</v>
      </c>
      <c r="G1" s="38" t="s">
        <v>80</v>
      </c>
      <c r="H1" s="38" t="s">
        <v>430</v>
      </c>
      <c r="I1" s="38" t="s">
        <v>81</v>
      </c>
      <c r="J1" s="38" t="s">
        <v>82</v>
      </c>
      <c r="K1" s="38" t="s">
        <v>83</v>
      </c>
      <c r="L1" s="38" t="s">
        <v>431</v>
      </c>
      <c r="M1" s="38" t="s">
        <v>432</v>
      </c>
      <c r="N1" s="38" t="s">
        <v>433</v>
      </c>
      <c r="O1" s="38" t="s">
        <v>88</v>
      </c>
      <c r="P1" s="38" t="s">
        <v>84</v>
      </c>
      <c r="Q1" s="38" t="s">
        <v>85</v>
      </c>
      <c r="R1" s="38" t="s">
        <v>86</v>
      </c>
      <c r="S1" s="38" t="s">
        <v>87</v>
      </c>
      <c r="T1" s="38" t="s">
        <v>434</v>
      </c>
      <c r="U1" s="38" t="s">
        <v>435</v>
      </c>
      <c r="V1" s="38" t="s">
        <v>436</v>
      </c>
      <c r="W1" s="38" t="s">
        <v>437</v>
      </c>
      <c r="X1" s="38" t="s">
        <v>438</v>
      </c>
      <c r="Y1" s="38" t="s">
        <v>439</v>
      </c>
      <c r="Z1" s="38" t="s">
        <v>440</v>
      </c>
      <c r="AA1" s="38" t="s">
        <v>441</v>
      </c>
      <c r="AB1" s="38" t="s">
        <v>442</v>
      </c>
      <c r="AC1" s="38" t="s">
        <v>443</v>
      </c>
    </row>
    <row r="2" spans="1:29" ht="255" x14ac:dyDescent="0.25">
      <c r="A2" s="40">
        <f>INDEX([1]Agregada!A:A,MATCH(B2,[1]Agregada!B:B,0))</f>
        <v>713</v>
      </c>
      <c r="B2" s="41" t="s">
        <v>90</v>
      </c>
      <c r="C2" s="40" t="str">
        <f t="shared" ref="C2" si="0">LEFT(B2, FIND(".", B2) - 1)</f>
        <v>010</v>
      </c>
      <c r="D2" s="40" t="str">
        <f t="shared" ref="D2" si="1">MID(B2, FIND(".", B2) + 1, FIND(".", B2, FIND(".", B2) + 1) - FIND(".", B2) - 1)</f>
        <v>000</v>
      </c>
      <c r="E2" s="40" t="str">
        <f t="shared" ref="E2" si="2">MID(B2, FIND(".", B2, FIND(".", B2) + 1) + 1, FIND(".", B2, FIND(".", B2, FIND(".", B2) + 1) + 1) - FIND(".", B2, FIND(".", B2) + 1) - 1)</f>
        <v>4413</v>
      </c>
      <c r="F2" s="40" t="str">
        <f t="shared" ref="F2" si="3">RIGHT(B2, LEN(B2) - FIND(".", B2, FIND(".", B2, FIND(".", B2) + 1) + 1))</f>
        <v>00</v>
      </c>
      <c r="G2" s="40" t="s">
        <v>91</v>
      </c>
      <c r="H2" s="42" t="str">
        <f>INDEX([1]Agregada!E:E,MATCH(B2,[1]Agregada!B:B,0))</f>
        <v>Brimonidina. Solución Oftálmica Cada ml contiene: Tartrato de brimonidina 2.0 mg Envase con frasco gotero con 5 ml.</v>
      </c>
      <c r="I2" s="40" t="s">
        <v>444</v>
      </c>
      <c r="J2" s="40">
        <v>1</v>
      </c>
      <c r="K2" s="40" t="s">
        <v>445</v>
      </c>
      <c r="L2" s="40" t="s">
        <v>446</v>
      </c>
      <c r="M2" s="43">
        <f>INDEX([1]Agregada!U:U,MATCH(B2,[1]Agregada!B:B,0))</f>
        <v>28374</v>
      </c>
      <c r="N2" s="43">
        <f>INDEX([1]Agregada!V:V,MATCH(B2,[1]Agregada!B:B,0))</f>
        <v>70932</v>
      </c>
      <c r="O2" s="40">
        <v>297</v>
      </c>
      <c r="P2" s="40" t="s">
        <v>447</v>
      </c>
      <c r="Q2" s="42" t="s">
        <v>448</v>
      </c>
      <c r="R2" s="40" t="s">
        <v>89</v>
      </c>
      <c r="S2" s="40" t="str">
        <f>"68527"</f>
        <v>68527</v>
      </c>
      <c r="T2" s="40"/>
      <c r="U2" s="44">
        <f t="shared" ref="U2" si="4">O2*M2</f>
        <v>8427078</v>
      </c>
      <c r="V2" s="44">
        <f t="shared" ref="V2" si="5">O2*N2</f>
        <v>21066804</v>
      </c>
      <c r="W2" s="44" t="s">
        <v>449</v>
      </c>
      <c r="X2" s="40" t="s">
        <v>450</v>
      </c>
      <c r="Y2" s="40" t="s">
        <v>451</v>
      </c>
      <c r="Z2" s="40" t="s">
        <v>451</v>
      </c>
      <c r="AA2" s="40" t="str">
        <f t="shared" ref="AA2" si="6">"100%"</f>
        <v>100%</v>
      </c>
      <c r="AB2" s="40" t="s">
        <v>452</v>
      </c>
      <c r="AC2" s="40" t="s">
        <v>453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247D-9EA1-4856-B05F-0233FC3B531E}">
  <dimension ref="A1:AC2"/>
  <sheetViews>
    <sheetView workbookViewId="0">
      <selection activeCell="I7" sqref="I7"/>
    </sheetView>
  </sheetViews>
  <sheetFormatPr defaultRowHeight="15" x14ac:dyDescent="0.25"/>
  <sheetData>
    <row r="1" spans="1:29" x14ac:dyDescent="0.25">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row>
    <row r="2" spans="1:29" ht="225" x14ac:dyDescent="0.25">
      <c r="A2" s="4" t="s">
        <v>29</v>
      </c>
      <c r="B2" s="4" t="s">
        <v>30</v>
      </c>
      <c r="C2" s="4" t="s">
        <v>31</v>
      </c>
      <c r="D2" s="4" t="s">
        <v>32</v>
      </c>
      <c r="E2" s="4" t="s">
        <v>33</v>
      </c>
      <c r="F2" s="4" t="s">
        <v>34</v>
      </c>
      <c r="G2" s="4" t="s">
        <v>35</v>
      </c>
      <c r="H2" s="4" t="s">
        <v>36</v>
      </c>
      <c r="I2" s="4" t="s">
        <v>37</v>
      </c>
      <c r="J2" s="5" t="s">
        <v>38</v>
      </c>
      <c r="K2" s="5" t="s">
        <v>39</v>
      </c>
      <c r="L2" s="5" t="s">
        <v>40</v>
      </c>
      <c r="M2" s="5" t="s">
        <v>41</v>
      </c>
      <c r="N2" s="5" t="s">
        <v>42</v>
      </c>
      <c r="O2" s="5" t="str">
        <f>"62840"</f>
        <v>62840</v>
      </c>
      <c r="P2" s="6" t="str">
        <f>"118,513"</f>
        <v>118,513</v>
      </c>
      <c r="Q2" s="7" t="str">
        <f>"15/diciembre/2016"</f>
        <v>15/diciembre/2016</v>
      </c>
      <c r="R2" s="8" t="s">
        <v>43</v>
      </c>
      <c r="S2" s="8" t="s">
        <v>44</v>
      </c>
      <c r="T2" s="8" t="s">
        <v>45</v>
      </c>
      <c r="U2" s="8" t="s">
        <v>46</v>
      </c>
      <c r="V2" s="8" t="s">
        <v>47</v>
      </c>
      <c r="W2" s="8" t="s">
        <v>48</v>
      </c>
      <c r="X2" s="7" t="s">
        <v>49</v>
      </c>
      <c r="Y2" s="4" t="s">
        <v>50</v>
      </c>
      <c r="Z2" s="4" t="s">
        <v>51</v>
      </c>
      <c r="AA2" s="9" t="str">
        <f>"159,321"</f>
        <v>159,321</v>
      </c>
      <c r="AB2" s="10" t="str">
        <f>"04/09/2023"</f>
        <v>04/09/2023</v>
      </c>
      <c r="AC2" s="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Parametrización</vt:lpstr>
      <vt:lpstr>headers_names</vt:lpstr>
      <vt:lpstr>PDF_PDF</vt:lpstr>
      <vt:lpstr>Tecnica_economica</vt:lpstr>
      <vt:lpstr>Campos_adm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Armando Cuaxospa</dc:creator>
  <cp:lastModifiedBy>OFFICE</cp:lastModifiedBy>
  <dcterms:created xsi:type="dcterms:W3CDTF">2015-06-05T18:17:20Z</dcterms:created>
  <dcterms:modified xsi:type="dcterms:W3CDTF">2026-04-13T03:04:38Z</dcterms:modified>
</cp:coreProperties>
</file>